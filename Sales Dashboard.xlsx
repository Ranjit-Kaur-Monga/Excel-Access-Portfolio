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cd97eca5a12082b6/Desktop/GITHUB PROJECTS/EXCEL-ACCESS Projects/PRoject01 sales dashboard/"/>
    </mc:Choice>
  </mc:AlternateContent>
  <xr:revisionPtr revIDLastSave="696" documentId="8_{01810FAE-DB7F-483E-94AC-9F1DDF493CBD}" xr6:coauthVersionLast="47" xr6:coauthVersionMax="47" xr10:uidLastSave="{33936492-2407-47E9-8847-598224A8B335}"/>
  <bookViews>
    <workbookView xWindow="-108" yWindow="-108" windowWidth="23256" windowHeight="12456" activeTab="2" xr2:uid="{C5992B8D-5507-4250-A076-EC35EF68E88F}"/>
  </bookViews>
  <sheets>
    <sheet name="Raw Data" sheetId="1" r:id="rId1"/>
    <sheet name="Pivot Tables" sheetId="3" r:id="rId2"/>
    <sheet name="Dashboard" sheetId="4" r:id="rId3"/>
  </sheets>
  <definedNames>
    <definedName name="Slicer_Category">#N/A</definedName>
    <definedName name="Slicer_Month">#N/A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4" l="1"/>
  <c r="J4" i="4"/>
  <c r="F4" i="4"/>
  <c r="B4" i="4"/>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M4" i="1"/>
  <c r="N4" i="1" s="1"/>
  <c r="O4" i="1" s="1"/>
  <c r="M5" i="1"/>
  <c r="N5" i="1" s="1"/>
  <c r="O5" i="1" s="1"/>
  <c r="M6" i="1"/>
  <c r="N6" i="1" s="1"/>
  <c r="O6" i="1" s="1"/>
  <c r="M7" i="1"/>
  <c r="N7" i="1" s="1"/>
  <c r="O7" i="1" s="1"/>
  <c r="M8" i="1"/>
  <c r="N8" i="1" s="1"/>
  <c r="O8" i="1" s="1"/>
  <c r="M9" i="1"/>
  <c r="N9" i="1" s="1"/>
  <c r="O9" i="1" s="1"/>
  <c r="M10" i="1"/>
  <c r="N10" i="1" s="1"/>
  <c r="O10" i="1" s="1"/>
  <c r="M11" i="1"/>
  <c r="N11" i="1" s="1"/>
  <c r="O11" i="1" s="1"/>
  <c r="M12" i="1"/>
  <c r="N12" i="1" s="1"/>
  <c r="O12" i="1" s="1"/>
  <c r="M13" i="1"/>
  <c r="N13" i="1" s="1"/>
  <c r="O13" i="1" s="1"/>
  <c r="M14" i="1"/>
  <c r="N14" i="1" s="1"/>
  <c r="O14" i="1" s="1"/>
  <c r="M15" i="1"/>
  <c r="N15" i="1" s="1"/>
  <c r="O15" i="1" s="1"/>
  <c r="M16" i="1"/>
  <c r="N16" i="1" s="1"/>
  <c r="O16" i="1" s="1"/>
  <c r="M17" i="1"/>
  <c r="N17" i="1" s="1"/>
  <c r="O17" i="1" s="1"/>
  <c r="M18" i="1"/>
  <c r="N18" i="1" s="1"/>
  <c r="O18" i="1" s="1"/>
  <c r="M19" i="1"/>
  <c r="N19" i="1" s="1"/>
  <c r="O19" i="1" s="1"/>
  <c r="M20" i="1"/>
  <c r="N20" i="1" s="1"/>
  <c r="O20" i="1" s="1"/>
  <c r="M21" i="1"/>
  <c r="N21" i="1" s="1"/>
  <c r="O21" i="1" s="1"/>
  <c r="M22" i="1"/>
  <c r="N22" i="1" s="1"/>
  <c r="O22" i="1" s="1"/>
  <c r="M23" i="1"/>
  <c r="N23" i="1" s="1"/>
  <c r="O23" i="1" s="1"/>
  <c r="M24" i="1"/>
  <c r="N24" i="1" s="1"/>
  <c r="O24" i="1" s="1"/>
  <c r="M25" i="1"/>
  <c r="N25" i="1" s="1"/>
  <c r="O25" i="1" s="1"/>
  <c r="M26" i="1"/>
  <c r="N26" i="1" s="1"/>
  <c r="O26" i="1" s="1"/>
  <c r="M27" i="1"/>
  <c r="N27" i="1" s="1"/>
  <c r="O27" i="1" s="1"/>
  <c r="M28" i="1"/>
  <c r="N28" i="1" s="1"/>
  <c r="O28" i="1" s="1"/>
  <c r="M29" i="1"/>
  <c r="N29" i="1" s="1"/>
  <c r="O29" i="1" s="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N57" i="1" s="1"/>
  <c r="O57" i="1" s="1"/>
  <c r="M58" i="1"/>
  <c r="N58" i="1" s="1"/>
  <c r="O58" i="1" s="1"/>
  <c r="M59" i="1"/>
  <c r="N59" i="1" s="1"/>
  <c r="O59" i="1" s="1"/>
  <c r="M60" i="1"/>
  <c r="N60" i="1" s="1"/>
  <c r="O60" i="1" s="1"/>
  <c r="M61" i="1"/>
  <c r="N61" i="1" s="1"/>
  <c r="O61" i="1" s="1"/>
  <c r="M62" i="1"/>
  <c r="N62" i="1" s="1"/>
  <c r="O62" i="1" s="1"/>
  <c r="M63" i="1"/>
  <c r="N63" i="1" s="1"/>
  <c r="O63" i="1" s="1"/>
  <c r="M64" i="1"/>
  <c r="N64" i="1" s="1"/>
  <c r="O64" i="1" s="1"/>
  <c r="M65" i="1"/>
  <c r="N65" i="1" s="1"/>
  <c r="O65" i="1" s="1"/>
  <c r="M66" i="1"/>
  <c r="N66" i="1" s="1"/>
  <c r="O66" i="1" s="1"/>
  <c r="M67" i="1"/>
  <c r="N67" i="1" s="1"/>
  <c r="O67" i="1" s="1"/>
  <c r="M68" i="1"/>
  <c r="N68" i="1" s="1"/>
  <c r="O68" i="1" s="1"/>
  <c r="M69" i="1"/>
  <c r="N69" i="1" s="1"/>
  <c r="O69" i="1" s="1"/>
  <c r="M70" i="1"/>
  <c r="N70" i="1" s="1"/>
  <c r="O70" i="1" s="1"/>
  <c r="M71" i="1"/>
  <c r="N71" i="1" s="1"/>
  <c r="O71" i="1" s="1"/>
  <c r="M72" i="1"/>
  <c r="N72" i="1" s="1"/>
  <c r="O72" i="1" s="1"/>
  <c r="M73" i="1"/>
  <c r="N73" i="1" s="1"/>
  <c r="O73" i="1" s="1"/>
  <c r="M74" i="1"/>
  <c r="N74" i="1" s="1"/>
  <c r="O74" i="1" s="1"/>
  <c r="M75" i="1"/>
  <c r="N75" i="1" s="1"/>
  <c r="O75" i="1" s="1"/>
  <c r="M76" i="1"/>
  <c r="N76" i="1" s="1"/>
  <c r="O76" i="1" s="1"/>
  <c r="M77" i="1"/>
  <c r="N77" i="1" s="1"/>
  <c r="O77" i="1" s="1"/>
  <c r="M78" i="1"/>
  <c r="N78" i="1" s="1"/>
  <c r="O78" i="1" s="1"/>
  <c r="M79" i="1"/>
  <c r="N79" i="1" s="1"/>
  <c r="O79" i="1" s="1"/>
  <c r="M80" i="1"/>
  <c r="N80" i="1" s="1"/>
  <c r="O80" i="1" s="1"/>
  <c r="M81" i="1"/>
  <c r="N81" i="1" s="1"/>
  <c r="O81" i="1" s="1"/>
  <c r="M82" i="1"/>
  <c r="N82" i="1" s="1"/>
  <c r="O82" i="1" s="1"/>
  <c r="M83" i="1"/>
  <c r="N83" i="1" s="1"/>
  <c r="O83" i="1" s="1"/>
  <c r="M84" i="1"/>
  <c r="N84" i="1" s="1"/>
  <c r="O84" i="1" s="1"/>
  <c r="M85" i="1"/>
  <c r="N85" i="1" s="1"/>
  <c r="O85" i="1" s="1"/>
  <c r="M86" i="1"/>
  <c r="N86" i="1" s="1"/>
  <c r="O86" i="1" s="1"/>
  <c r="M87" i="1"/>
  <c r="N87" i="1" s="1"/>
  <c r="O87" i="1" s="1"/>
  <c r="M88" i="1"/>
  <c r="N88" i="1" s="1"/>
  <c r="O88" i="1" s="1"/>
  <c r="M89" i="1"/>
  <c r="N89" i="1" s="1"/>
  <c r="O89" i="1" s="1"/>
  <c r="M90" i="1"/>
  <c r="N90" i="1" s="1"/>
  <c r="O90" i="1" s="1"/>
  <c r="M91" i="1"/>
  <c r="N91" i="1" s="1"/>
  <c r="O91" i="1" s="1"/>
  <c r="M92" i="1"/>
  <c r="N92" i="1" s="1"/>
  <c r="O92" i="1" s="1"/>
  <c r="M93" i="1"/>
  <c r="N93" i="1" s="1"/>
  <c r="O93" i="1" s="1"/>
  <c r="M94" i="1"/>
  <c r="N94" i="1" s="1"/>
  <c r="O94" i="1" s="1"/>
  <c r="M95" i="1"/>
  <c r="N95" i="1" s="1"/>
  <c r="O95" i="1" s="1"/>
  <c r="M96" i="1"/>
  <c r="N96" i="1" s="1"/>
  <c r="O96" i="1" s="1"/>
  <c r="M97" i="1"/>
  <c r="N97" i="1" s="1"/>
  <c r="O97" i="1" s="1"/>
  <c r="M98" i="1"/>
  <c r="N98" i="1" s="1"/>
  <c r="O98" i="1" s="1"/>
  <c r="M99" i="1"/>
  <c r="N99" i="1" s="1"/>
  <c r="O99" i="1" s="1"/>
  <c r="M100" i="1"/>
  <c r="N100" i="1" s="1"/>
  <c r="O100" i="1" s="1"/>
  <c r="M101" i="1"/>
  <c r="N101" i="1" s="1"/>
  <c r="O101" i="1" s="1"/>
  <c r="M102" i="1"/>
  <c r="N102" i="1" s="1"/>
  <c r="O102" i="1" s="1"/>
  <c r="M103" i="1"/>
  <c r="N103" i="1" s="1"/>
  <c r="O103" i="1" s="1"/>
  <c r="M3" i="1"/>
  <c r="M2" i="1"/>
  <c r="N3" i="1" l="1"/>
  <c r="O3" i="1" s="1"/>
  <c r="N2" i="1"/>
  <c r="O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tc={D1EE9A53-27FA-4C81-9BD4-D64B7F10E63B}</author>
    <author>tc={D4E5961E-8BE4-495E-8E1A-6483819EE89D}</author>
  </authors>
  <commentList>
    <comment ref="M2" authorId="0" shapeId="0" xr:uid="{D1EE9A53-27FA-4C81-9BD4-D64B7F10E63B}">
      <text>
        <t>[Threaded comment]
Your version of Excel allows you to read this threaded comment; however, any edits to it will get removed if the file is opened in a newer version of Excel. Learn more: https://go.microsoft.com/fwlink/?linkid=870924
Comment:
    Quantity*unit Price*(1-discount%) , applying discount</t>
      </text>
    </comment>
    <comment ref="O2" authorId="1" shapeId="0" xr:uid="{D4E5961E-8BE4-495E-8E1A-6483819EE89D}">
      <text>
        <t xml:space="preserve">[Threaded comment]
Your version of Excel allows you to read this threaded comment; however, any edits to it will get removed if the file is opened in a newer version of Excel. Learn more: https://go.microsoft.com/fwlink/?linkid=870924
Comment:
    Sales-Cost
</t>
      </text>
    </comment>
  </commentList>
</comments>
</file>

<file path=xl/sharedStrings.xml><?xml version="1.0" encoding="utf-8"?>
<sst xmlns="http://schemas.openxmlformats.org/spreadsheetml/2006/main" count="1017" uniqueCount="184">
  <si>
    <t>Date</t>
  </si>
  <si>
    <t>Region</t>
  </si>
  <si>
    <t>Category</t>
  </si>
  <si>
    <t>Unit Price</t>
  </si>
  <si>
    <t>Discount (%)</t>
  </si>
  <si>
    <t>Salesperson</t>
  </si>
  <si>
    <t>Total Sales</t>
  </si>
  <si>
    <t>Profit</t>
  </si>
  <si>
    <t>Order ID</t>
  </si>
  <si>
    <t>City</t>
  </si>
  <si>
    <t>Product</t>
  </si>
  <si>
    <t>Quantity</t>
  </si>
  <si>
    <t>ORD001</t>
  </si>
  <si>
    <t>Amit</t>
  </si>
  <si>
    <t>Delhi</t>
  </si>
  <si>
    <t>North</t>
  </si>
  <si>
    <t>Laptop</t>
  </si>
  <si>
    <t>Electronics</t>
  </si>
  <si>
    <t>Rahul</t>
  </si>
  <si>
    <t>ORD002</t>
  </si>
  <si>
    <t>Priya</t>
  </si>
  <si>
    <t>Mumbai</t>
  </si>
  <si>
    <t>West</t>
  </si>
  <si>
    <t>Printer</t>
  </si>
  <si>
    <t>Office</t>
  </si>
  <si>
    <t>Sneha</t>
  </si>
  <si>
    <t>Customer Name</t>
  </si>
  <si>
    <t>Cost (assume 70% of Sales)</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</si>
  <si>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</si>
  <si>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</si>
  <si>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</si>
  <si>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</si>
  <si>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</si>
  <si>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</si>
  <si>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</si>
  <si>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</si>
  <si>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</si>
  <si>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</si>
  <si>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</si>
  <si>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</si>
  <si>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</si>
  <si>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</si>
  <si>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</si>
  <si>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</si>
  <si>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</si>
  <si>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</si>
  <si>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</si>
  <si>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</si>
  <si>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</si>
  <si>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</si>
  <si>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</si>
  <si>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</si>
  <si>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</si>
  <si>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</si>
  <si>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</si>
  <si>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</si>
  <si>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East</t>
  </si>
  <si>
    <t>South</t>
  </si>
  <si>
    <t>Jaipur</t>
  </si>
  <si>
    <t>Rohit Kumar</t>
  </si>
  <si>
    <t>Pune</t>
  </si>
  <si>
    <t>Webcam</t>
  </si>
  <si>
    <t>Accessories</t>
  </si>
  <si>
    <t>Ankit Jain</t>
  </si>
  <si>
    <t>Vivek Singh</t>
  </si>
  <si>
    <t>Lucknow</t>
  </si>
  <si>
    <t>Keyboard</t>
  </si>
  <si>
    <t>Sneha Gupta</t>
  </si>
  <si>
    <t>Amit Sharma</t>
  </si>
  <si>
    <t>Desk</t>
  </si>
  <si>
    <t>Furniture</t>
  </si>
  <si>
    <t>Simran Kaur</t>
  </si>
  <si>
    <t>Office Chair</t>
  </si>
  <si>
    <t>Rahul Singh</t>
  </si>
  <si>
    <t>Pooja Mehta</t>
  </si>
  <si>
    <t>Karan Malhotra</t>
  </si>
  <si>
    <t>Mouse</t>
  </si>
  <si>
    <t>Pooja Nair</t>
  </si>
  <si>
    <t>Mohit Bansal</t>
  </si>
  <si>
    <t>Kolkata</t>
  </si>
  <si>
    <t>Bengaluru</t>
  </si>
  <si>
    <t>Priya Verma</t>
  </si>
  <si>
    <t>Monitor</t>
  </si>
  <si>
    <t>Riya Sharma</t>
  </si>
  <si>
    <t>Neha Arora</t>
  </si>
  <si>
    <t>Deepak Yadav</t>
  </si>
  <si>
    <t>Hyderabad</t>
  </si>
  <si>
    <t>Chennai</t>
  </si>
  <si>
    <t>Bhopal</t>
  </si>
  <si>
    <t>Central</t>
  </si>
  <si>
    <t>Anjali Kapoor</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</si>
  <si>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</si>
  <si>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</si>
  <si>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</si>
  <si>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</si>
  <si>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</si>
  <si>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</si>
  <si>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</si>
  <si>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</si>
  <si>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</si>
  <si>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</si>
  <si>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</si>
  <si>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</si>
  <si>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</si>
  <si>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</si>
  <si>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</si>
  <si>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</si>
  <si>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</si>
  <si>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</si>
  <si>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</si>
  <si>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</si>
  <si>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</si>
  <si>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</si>
  <si>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</si>
  <si>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</si>
  <si>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</si>
  <si>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</si>
  <si>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</si>
  <si>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</si>
  <si>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</si>
  <si>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</si>
  <si>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</si>
  <si>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</si>
  <si>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</si>
  <si>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</si>
  <si>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</si>
  <si>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</si>
  <si>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</si>
  <si>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</si>
  <si>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</si>
  <si>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</si>
  <si>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</si>
  <si>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</si>
  <si>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</si>
  <si>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</si>
  <si>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</si>
  <si>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</si>
  <si>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</si>
  <si>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</si>
  <si>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</si>
  <si>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</si>
  <si>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</si>
  <si>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</si>
  <si>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</si>
  <si>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</si>
  <si>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</si>
  <si>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</si>
  <si>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</si>
  <si>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</si>
  <si>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</si>
  <si>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</si>
  <si>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</si>
  <si>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</si>
  <si>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</si>
  <si>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</si>
  <si>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</si>
  <si>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</si>
  <si>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</si>
  <si>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</si>
  <si>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</si>
  <si>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</si>
  <si>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</si>
  <si>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</si>
  <si>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Grand Total</t>
  </si>
  <si>
    <t>Sum of Total Sales</t>
  </si>
  <si>
    <t>Sales by Region</t>
  </si>
  <si>
    <t>Sales by Product</t>
  </si>
  <si>
    <t>Sales by Salesperson</t>
  </si>
  <si>
    <t>Sales by Category</t>
  </si>
  <si>
    <t>Month</t>
  </si>
  <si>
    <t>Jan</t>
  </si>
  <si>
    <t>Feb</t>
  </si>
  <si>
    <t>Mar</t>
  </si>
  <si>
    <t>Apr</t>
  </si>
  <si>
    <t>Sales by Month</t>
  </si>
  <si>
    <t>Top Customers</t>
  </si>
  <si>
    <t xml:space="preserve">TOTAL SALES </t>
  </si>
  <si>
    <t>Sum of Profit</t>
  </si>
  <si>
    <t>Profit by Category</t>
  </si>
  <si>
    <t>TOTAL PROFIT</t>
  </si>
  <si>
    <t>TOTAL ORDERS</t>
  </si>
  <si>
    <t>TOTAL CUSTOMERS</t>
  </si>
  <si>
    <t>KPI Table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</si>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</sst>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0"/>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3" tint="0.74999237037263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8">
    <xf numFmtId="0" fontId="0" fillId="0" borderId="0" xfId="0"/>
    <xf numFmtId="0" fontId="0" fillId="0" borderId="0" xfId="0" applyAlignment="1">
      <alignment vertical="center" wrapText="1"/>
    </xf>
    <xf numFmtId="0" fontId="0" fillId="0" borderId="0" xfId="0" applyAlignment="1">
      <alignment vertical="center"/>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9" fontId="0" fillId="0" borderId="0" xfId="0" applyNumberFormat="1"/>
    <xf numFmtId="9" fontId="0" fillId="0" borderId="0" xfId="0" applyNumberFormat="1" applyAlignment="1">
      <alignment vertical="center" wrapText="1"/>
    </xf>
    <xf numFmtId="14" fontId="0" fillId="0" borderId="0" xfId="0" applyNumberFormat="1" applyAlignment="1">
      <alignment vertical="center" wrapText="1"/>
    </xf>
    <xf numFmtId="14" fontId="0" fillId="0" borderId="0" xfId="0" applyNumberFormat="1"/>
    <xf numFmtId="9" fontId="1" fillId="0" borderId="0" xfId="0" applyNumberFormat="1" applyFont="1" applyAlignment="1">
      <alignment horizontal="center" vertical="center" wrapText="1"/>
    </xf>
    <xf numFmtId="9" fontId="0" fillId="0" borderId="0" xfId="0" applyNumberFormat="1" applyAlignment="1">
      <alignment wrapText="1"/>
    </xf>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0" xfId="0" applyNumberFormat="1"/>
    <xf numFmtId="0" fontId="0" fillId="0" borderId="0" xfId="0" pivotButton="1"/>
    <xf numFmtId="0" fontId="0" fillId="2" borderId="0" xfId="0" applyFill="1"/>
    <xf numFmtId="0" fontId="0" fillId="2" borderId="0" xfId="0" applyFill="1" applyAlignment="1">
      <alignment horizontal="left"/>
    </xf>
    <xf numFmtId="0" fontId="0" fillId="4" borderId="0" xfId="0" applyFill="1"/>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6" borderId="0" xfId="0" applyFont="1" applyFill="1" applyAlignment="1">
      <alignment horizontal="center"/>
    </xf>
    <xf numFmtId="164" fontId="3" fillId="5" borderId="4" xfId="0" applyNumberFormat="1" applyFont="1" applyFill="1" applyBorder="1" applyAlignment="1">
      <alignment horizontal="center" vertical="center"/>
    </xf>
    <xf numFmtId="164" fontId="3" fillId="5" borderId="0" xfId="0" applyNumberFormat="1" applyFont="1" applyFill="1" applyAlignment="1">
      <alignment horizontal="center" vertical="center"/>
    </xf>
    <xf numFmtId="164" fontId="3" fillId="5" borderId="5" xfId="0" applyNumberFormat="1" applyFont="1" applyFill="1" applyBorder="1" applyAlignment="1">
      <alignment horizontal="center" vertical="center"/>
    </xf>
    <xf numFmtId="164" fontId="3" fillId="5" borderId="6" xfId="0" applyNumberFormat="1" applyFont="1" applyFill="1" applyBorder="1" applyAlignment="1">
      <alignment horizontal="center" vertical="center"/>
    </xf>
    <xf numFmtId="164" fontId="3" fillId="5" borderId="7" xfId="0" applyNumberFormat="1" applyFont="1" applyFill="1" applyBorder="1" applyAlignment="1">
      <alignment horizontal="center" vertical="center"/>
    </xf>
    <xf numFmtId="164" fontId="3" fillId="5" borderId="8" xfId="0" applyNumberFormat="1" applyFont="1" applyFill="1" applyBorder="1" applyAlignment="1">
      <alignment horizontal="center" vertical="center"/>
    </xf>
  </cellXfs>
  <cellStyles count="1">
    <cellStyle name="Normal" xfId="0" builtinId="0"/>
  </cellStyles>
  <dxfs count="19">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3" formatCode="0%"/>
    </dxf>
    <dxf>
      <numFmt numFmtId="13" formatCode="0%"/>
    </dxf>
    <dxf>
      <numFmt numFmtId="164" formatCode="&quot;₹&quot;\ #,##0.00"/>
      <alignment horizontal="general" vertical="bottom" textRotation="0" wrapText="1" indent="0" justifyLastLine="0" shrinkToFit="0" readingOrder="0"/>
    </dxf>
    <dxf>
      <numFmt numFmtId="164" formatCode="&quot;₹&quot;\ #,##0.00"/>
    </dxf>
    <dxf>
      <numFmt numFmtId="164" formatCode="&quot;₹&quot;\ #,##0.0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164" formatCode="&quot;₹&quot;\ #,##0.00"/>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 #,##0.00</c:formatCode>
                <c:ptCount val="5"/>
                <c:pt idx="0">
                  <c:v>297131.09999999998</c:v>
                </c:pt>
                <c:pt idx="1">
                  <c:v>846959.75</c:v>
                </c:pt>
                <c:pt idx="2">
                  <c:v>2498919.04</c:v>
                </c:pt>
                <c:pt idx="3">
                  <c:v>2424897.7100000009</c:v>
                </c:pt>
                <c:pt idx="4">
                  <c:v>1124386.5699999998</c:v>
                </c:pt>
              </c:numCache>
            </c:numRef>
          </c:val>
          <c:extLst>
            <c:ext xmlns:c16="http://schemas.microsoft.com/office/drawing/2014/chart" uri="{C3380CC4-5D6E-409C-BE32-E72D297353CC}">
              <c16:uniqueId val="{00000000-C738-4369-81FB-5FC08E2C5E14}"/>
            </c:ext>
          </c:extLst>
        </c:ser>
        <c:dLbls>
          <c:showLegendKey val="0"/>
          <c:showVal val="0"/>
          <c:showCatName val="0"/>
          <c:showSerName val="0"/>
          <c:showPercent val="0"/>
          <c:showBubbleSize val="0"/>
        </c:dLbls>
        <c:gapWidth val="219"/>
        <c:overlap val="-27"/>
        <c:axId val="1137587888"/>
        <c:axId val="1025293168"/>
      </c:barChart>
      <c:catAx>
        <c:axId val="113758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293168"/>
        <c:crosses val="autoZero"/>
        <c:auto val="1"/>
        <c:lblAlgn val="ctr"/>
        <c:lblOffset val="100"/>
        <c:noMultiLvlLbl val="0"/>
      </c:catAx>
      <c:valAx>
        <c:axId val="1025293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58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Tables!Sales by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Tables'!$A$14:$A$22</c:f>
              <c:strCache>
                <c:ptCount val="8"/>
                <c:pt idx="0">
                  <c:v>Desk</c:v>
                </c:pt>
                <c:pt idx="1">
                  <c:v>Keyboard</c:v>
                </c:pt>
                <c:pt idx="2">
                  <c:v>Laptop</c:v>
                </c:pt>
                <c:pt idx="3">
                  <c:v>Monitor</c:v>
                </c:pt>
                <c:pt idx="4">
                  <c:v>Mouse</c:v>
                </c:pt>
                <c:pt idx="5">
                  <c:v>Office Chair</c:v>
                </c:pt>
                <c:pt idx="6">
                  <c:v>Printer</c:v>
                </c:pt>
                <c:pt idx="7">
                  <c:v>Webcam</c:v>
                </c:pt>
              </c:strCache>
            </c:strRef>
          </c:cat>
          <c:val>
            <c:numRef>
              <c:f>'Pivot Tables'!$B$14:$B$22</c:f>
              <c:numCache>
                <c:formatCode>"₹"\ #,##0.00</c:formatCode>
                <c:ptCount val="8"/>
                <c:pt idx="0">
                  <c:v>872791.85999999987</c:v>
                </c:pt>
                <c:pt idx="1">
                  <c:v>64012.990000000005</c:v>
                </c:pt>
                <c:pt idx="2">
                  <c:v>3767969.74</c:v>
                </c:pt>
                <c:pt idx="3">
                  <c:v>1177059.47</c:v>
                </c:pt>
                <c:pt idx="4">
                  <c:v>44423.08</c:v>
                </c:pt>
                <c:pt idx="5">
                  <c:v>417702.39</c:v>
                </c:pt>
                <c:pt idx="6">
                  <c:v>698881.25</c:v>
                </c:pt>
                <c:pt idx="7">
                  <c:v>149453.38999999998</c:v>
                </c:pt>
              </c:numCache>
            </c:numRef>
          </c:val>
          <c:extLst>
            <c:ext xmlns:c16="http://schemas.microsoft.com/office/drawing/2014/chart" uri="{C3380CC4-5D6E-409C-BE32-E72D297353CC}">
              <c16:uniqueId val="{00000000-0147-4DD0-9E9B-80ED2E4707D1}"/>
            </c:ext>
          </c:extLst>
        </c:ser>
        <c:dLbls>
          <c:showLegendKey val="0"/>
          <c:showVal val="0"/>
          <c:showCatName val="0"/>
          <c:showSerName val="0"/>
          <c:showPercent val="0"/>
          <c:showBubbleSize val="0"/>
        </c:dLbls>
        <c:gapWidth val="182"/>
        <c:axId val="1036905104"/>
        <c:axId val="1025273488"/>
      </c:barChart>
      <c:catAx>
        <c:axId val="103690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273488"/>
        <c:crosses val="autoZero"/>
        <c:auto val="1"/>
        <c:lblAlgn val="ctr"/>
        <c:lblOffset val="100"/>
        <c:noMultiLvlLbl val="0"/>
      </c:catAx>
      <c:valAx>
        <c:axId val="10252734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90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Tables!Sales by Salesperson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Tables'!$D$4:$D$10</c:f>
              <c:strCache>
                <c:ptCount val="6"/>
                <c:pt idx="0">
                  <c:v>Rahul Singh</c:v>
                </c:pt>
                <c:pt idx="1">
                  <c:v>Sneha Gupta</c:v>
                </c:pt>
                <c:pt idx="2">
                  <c:v>Ankit Jain</c:v>
                </c:pt>
                <c:pt idx="3">
                  <c:v>Pooja Nair</c:v>
                </c:pt>
                <c:pt idx="4">
                  <c:v>Rahul</c:v>
                </c:pt>
                <c:pt idx="5">
                  <c:v>Sneha</c:v>
                </c:pt>
              </c:strCache>
            </c:strRef>
          </c:cat>
          <c:val>
            <c:numRef>
              <c:f>'Pivot Tables'!$E$4:$E$10</c:f>
              <c:numCache>
                <c:formatCode>"₹"\ #,##0.00</c:formatCode>
                <c:ptCount val="6"/>
                <c:pt idx="0">
                  <c:v>2885354.3700000006</c:v>
                </c:pt>
                <c:pt idx="1">
                  <c:v>1891111.8500000003</c:v>
                </c:pt>
                <c:pt idx="2">
                  <c:v>1160305.5299999998</c:v>
                </c:pt>
                <c:pt idx="3">
                  <c:v>1145122.4199999997</c:v>
                </c:pt>
                <c:pt idx="4">
                  <c:v>99000</c:v>
                </c:pt>
                <c:pt idx="5">
                  <c:v>11400</c:v>
                </c:pt>
              </c:numCache>
            </c:numRef>
          </c:val>
          <c:extLst>
            <c:ext xmlns:c16="http://schemas.microsoft.com/office/drawing/2014/chart" uri="{C3380CC4-5D6E-409C-BE32-E72D297353CC}">
              <c16:uniqueId val="{00000000-2681-4DFD-8F24-638692C87BCD}"/>
            </c:ext>
          </c:extLst>
        </c:ser>
        <c:dLbls>
          <c:showLegendKey val="0"/>
          <c:showVal val="0"/>
          <c:showCatName val="0"/>
          <c:showSerName val="0"/>
          <c:showPercent val="0"/>
          <c:showBubbleSize val="0"/>
        </c:dLbls>
        <c:gapWidth val="219"/>
        <c:overlap val="-27"/>
        <c:axId val="1028608800"/>
        <c:axId val="403402928"/>
      </c:barChart>
      <c:catAx>
        <c:axId val="10286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402928"/>
        <c:crosses val="autoZero"/>
        <c:auto val="1"/>
        <c:lblAlgn val="ctr"/>
        <c:lblOffset val="100"/>
        <c:noMultiLvlLbl val="0"/>
      </c:catAx>
      <c:valAx>
        <c:axId val="403402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0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Tables!Sales by 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Tables'!$H$11</c:f>
              <c:strCache>
                <c:ptCount val="1"/>
                <c:pt idx="0">
                  <c:v>Total</c:v>
                </c:pt>
              </c:strCache>
            </c:strRef>
          </c:tx>
          <c:spPr>
            <a:ln w="28575" cap="rnd">
              <a:solidFill>
                <a:schemeClr val="accent1"/>
              </a:solidFill>
              <a:round/>
            </a:ln>
            <a:effectLst/>
          </c:spPr>
          <c:marker>
            <c:symbol val="none"/>
          </c:marker>
          <c:cat>
            <c:strRef>
              <c:f>'Pivot Tables'!$G$12:$G$16</c:f>
              <c:strCache>
                <c:ptCount val="4"/>
                <c:pt idx="0">
                  <c:v>Jan</c:v>
                </c:pt>
                <c:pt idx="1">
                  <c:v>Feb</c:v>
                </c:pt>
                <c:pt idx="2">
                  <c:v>Mar</c:v>
                </c:pt>
                <c:pt idx="3">
                  <c:v>Apr</c:v>
                </c:pt>
              </c:strCache>
            </c:strRef>
          </c:cat>
          <c:val>
            <c:numRef>
              <c:f>'Pivot Tables'!$H$12:$H$16</c:f>
              <c:numCache>
                <c:formatCode>"₹"\ #,##0.00</c:formatCode>
                <c:ptCount val="4"/>
                <c:pt idx="0">
                  <c:v>1463700.8599999999</c:v>
                </c:pt>
                <c:pt idx="1">
                  <c:v>1923116.5500000003</c:v>
                </c:pt>
                <c:pt idx="2">
                  <c:v>3234348.0600000005</c:v>
                </c:pt>
                <c:pt idx="3">
                  <c:v>571128.70000000007</c:v>
                </c:pt>
              </c:numCache>
            </c:numRef>
          </c:val>
          <c:smooth val="0"/>
          <c:extLst>
            <c:ext xmlns:c16="http://schemas.microsoft.com/office/drawing/2014/chart" uri="{C3380CC4-5D6E-409C-BE32-E72D297353CC}">
              <c16:uniqueId val="{00000000-C50A-4170-A894-D45164A97B51}"/>
            </c:ext>
          </c:extLst>
        </c:ser>
        <c:dLbls>
          <c:showLegendKey val="0"/>
          <c:showVal val="0"/>
          <c:showCatName val="0"/>
          <c:showSerName val="0"/>
          <c:showPercent val="0"/>
          <c:showBubbleSize val="0"/>
        </c:dLbls>
        <c:smooth val="0"/>
        <c:axId val="1146955440"/>
        <c:axId val="403377008"/>
      </c:lineChart>
      <c:catAx>
        <c:axId val="114695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77008"/>
        <c:crosses val="autoZero"/>
        <c:auto val="1"/>
        <c:lblAlgn val="ctr"/>
        <c:lblOffset val="100"/>
        <c:noMultiLvlLbl val="0"/>
      </c:catAx>
      <c:valAx>
        <c:axId val="403377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91440</xdr:rowOff>
    </xdr:from>
    <xdr:to>
      <xdr:col>4</xdr:col>
      <xdr:colOff>7620</xdr:colOff>
      <xdr:row>11</xdr:row>
      <xdr:rowOff>243839</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74730907-EB96-4FD0-89DA-FA02192FF19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09600" y="1669869"/>
              <a:ext cx="1509849" cy="2046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5</xdr:row>
      <xdr:rowOff>83820</xdr:rowOff>
    </xdr:from>
    <xdr:to>
      <xdr:col>8</xdr:col>
      <xdr:colOff>7620</xdr:colOff>
      <xdr:row>11</xdr:row>
      <xdr:rowOff>251459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E684B17-270E-4E64-A639-D8CA309575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77143" y="1662249"/>
              <a:ext cx="1596934" cy="2061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5</xdr:row>
      <xdr:rowOff>60960</xdr:rowOff>
    </xdr:from>
    <xdr:to>
      <xdr:col>11</xdr:col>
      <xdr:colOff>220980</xdr:colOff>
      <xdr:row>11</xdr:row>
      <xdr:rowOff>228599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2F4E46EC-125F-4946-B6BE-1B122146F7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61163" y="1639389"/>
              <a:ext cx="1432560" cy="2061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5</xdr:row>
      <xdr:rowOff>53340</xdr:rowOff>
    </xdr:from>
    <xdr:to>
      <xdr:col>15</xdr:col>
      <xdr:colOff>220980</xdr:colOff>
      <xdr:row>11</xdr:row>
      <xdr:rowOff>259079</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27FD1FD1-7838-4F4A-B9E5-0E9E6A965C8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377543" y="1631769"/>
              <a:ext cx="1440180" cy="2099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xdr:row>
      <xdr:rowOff>0</xdr:rowOff>
    </xdr:from>
    <xdr:to>
      <xdr:col>23</xdr:col>
      <xdr:colOff>556260</xdr:colOff>
      <xdr:row>9</xdr:row>
      <xdr:rowOff>99060</xdr:rowOff>
    </xdr:to>
    <xdr:graphicFrame macro="">
      <xdr:nvGraphicFramePr>
        <xdr:cNvPr id="14" name="Chart 13">
          <a:extLst>
            <a:ext uri="{FF2B5EF4-FFF2-40B4-BE49-F238E27FC236}">
              <a16:creationId xmlns:a16="http://schemas.microsoft.com/office/drawing/2014/main" id="{F4C4DB24-4036-4AC3-AEFF-622C9BB6C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10</xdr:row>
      <xdr:rowOff>0</xdr:rowOff>
    </xdr:from>
    <xdr:to>
      <xdr:col>24</xdr:col>
      <xdr:colOff>38100</xdr:colOff>
      <xdr:row>18</xdr:row>
      <xdr:rowOff>76200</xdr:rowOff>
    </xdr:to>
    <xdr:graphicFrame macro="">
      <xdr:nvGraphicFramePr>
        <xdr:cNvPr id="15" name="Chart 14">
          <a:extLst>
            <a:ext uri="{FF2B5EF4-FFF2-40B4-BE49-F238E27FC236}">
              <a16:creationId xmlns:a16="http://schemas.microsoft.com/office/drawing/2014/main" id="{D3AA2047-732B-408F-93B6-0EA6FF389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119743</xdr:colOff>
      <xdr:row>0</xdr:row>
      <xdr:rowOff>293915</xdr:rowOff>
    </xdr:from>
    <xdr:to>
      <xdr:col>30</xdr:col>
      <xdr:colOff>566057</xdr:colOff>
      <xdr:row>9</xdr:row>
      <xdr:rowOff>76200</xdr:rowOff>
    </xdr:to>
    <xdr:graphicFrame macro="">
      <xdr:nvGraphicFramePr>
        <xdr:cNvPr id="16" name="Chart 15">
          <a:extLst>
            <a:ext uri="{FF2B5EF4-FFF2-40B4-BE49-F238E27FC236}">
              <a16:creationId xmlns:a16="http://schemas.microsoft.com/office/drawing/2014/main" id="{9A81026A-D54F-4BD5-AD9D-D983D526C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152400</xdr:colOff>
      <xdr:row>9</xdr:row>
      <xdr:rowOff>272144</xdr:rowOff>
    </xdr:from>
    <xdr:to>
      <xdr:col>30</xdr:col>
      <xdr:colOff>489857</xdr:colOff>
      <xdr:row>17</xdr:row>
      <xdr:rowOff>283030</xdr:rowOff>
    </xdr:to>
    <xdr:graphicFrame macro="">
      <xdr:nvGraphicFramePr>
        <xdr:cNvPr id="17" name="Chart 16">
          <a:extLst>
            <a:ext uri="{FF2B5EF4-FFF2-40B4-BE49-F238E27FC236}">
              <a16:creationId xmlns:a16="http://schemas.microsoft.com/office/drawing/2014/main" id="{4D7AEA3B-F522-45A8-868F-F79638E13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anjit Kaur Monga" id="{0AEA2F92-F51B-4279-8FE5-626396D7BA84}" userId="cd97eca5a12082b6"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 Kaur Monga" refreshedDate="46242.000582754627" createdVersion="8" refreshedVersion="8" minRefreshableVersion="3" recordCount="102" xr:uid="{ADAE1CAC-75E0-4DA5-AEFD-7EC1A9ED9062}">
  <cacheSource type="worksheet">
    <worksheetSource name="SalesData"/>
  </cacheSource>
  <cacheFields count="15">
    <cacheField name="Date" numFmtId="14">
      <sharedItems containsSemiMixedTypes="0" containsNonDate="0" containsDate="1" containsString="0" minDate="2026-01-01T00:00:00" maxDate="2026-04-13T00:00:00"/>
    </cacheField>
    <cacheField name="Month" numFmtId="14">
      <sharedItems count="4">
        <s v="Jan"/>
        <s v="Feb"/>
        <s v="Mar"/>
        <s v="Apr"/>
      </sharedItems>
    </cacheField>
    <cacheField name="Order ID" numFmtId="0">
      <sharedItems count="102">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haredItems>
    </cacheField>
    <cacheField name="Customer Name" numFmtId="0">
      <sharedItems count="14">
        <s v="Amit"/>
        <s v="Priya"/>
        <s v="Rohit Kumar"/>
        <s v="Vivek Singh"/>
        <s v="Amit Sharma"/>
        <s v="Simran Kaur"/>
        <s v="Pooja Mehta"/>
        <s v="Karan Malhotra"/>
        <s v="Mohit Bansal"/>
        <s v="Priya Verma"/>
        <s v="Riya Sharma"/>
        <s v="Neha Arora"/>
        <s v="Deepak Yadav"/>
        <s v="Anjali Kapoor"/>
      </sharedItems>
    </cacheField>
    <cacheField name="City" numFmtId="0">
      <sharedItems count="10">
        <s v="Delhi"/>
        <s v="Mumbai"/>
        <s v="Pune"/>
        <s v="Lucknow"/>
        <s v="Jaipur"/>
        <s v="Kolkata"/>
        <s v="Bengaluru"/>
        <s v="Hyderabad"/>
        <s v="Chennai"/>
        <s v="Bhopal"/>
      </sharedItems>
    </cacheField>
    <cacheField name="Region" numFmtId="0">
      <sharedItems count="5">
        <s v="North"/>
        <s v="West"/>
        <s v="East"/>
        <s v="South"/>
        <s v="Central"/>
      </sharedItems>
    </cacheField>
    <cacheField name="Product" numFmtId="0">
      <sharedItems count="8">
        <s v="Laptop"/>
        <s v="Printer"/>
        <s v="Webcam"/>
        <s v="Keyboard"/>
        <s v="Desk"/>
        <s v="Office Chair"/>
        <s v="Mouse"/>
        <s v="Monitor"/>
      </sharedItems>
    </cacheField>
    <cacheField name="Category" numFmtId="0">
      <sharedItems count="4">
        <s v="Electronics"/>
        <s v="Office"/>
        <s v="Accessories"/>
        <s v="Furniture"/>
      </sharedItems>
    </cacheField>
    <cacheField name="Quantity" numFmtId="0">
      <sharedItems containsSemiMixedTypes="0" containsString="0" containsNumber="1" containsInteger="1" minValue="1" maxValue="10"/>
    </cacheField>
    <cacheField name="Unit Price" numFmtId="164">
      <sharedItems containsSemiMixedTypes="0" containsString="0" containsNumber="1" containsInteger="1" minValue="341" maxValue="55407"/>
    </cacheField>
    <cacheField name="Discount (%)" numFmtId="9">
      <sharedItems containsSemiMixedTypes="0" containsString="0" containsNumber="1" minValue="0" maxValue="0.15"/>
    </cacheField>
    <cacheField name="Salesperson" numFmtId="0">
      <sharedItems count="6">
        <s v="Rahul"/>
        <s v="Sneha"/>
        <s v="Ankit Jain"/>
        <s v="Sneha Gupta"/>
        <s v="Rahul Singh"/>
        <s v="Pooja Nair"/>
      </sharedItems>
    </cacheField>
    <cacheField name="Total Sales" numFmtId="164">
      <sharedItems containsSemiMixedTypes="0" containsString="0" containsNumber="1" minValue="490.16" maxValue="505116.80000000005" count="102">
        <n v="99000"/>
        <n v="11400"/>
        <n v="9294.7999999999993"/>
        <n v="5913.45"/>
        <n v="24888.16"/>
        <n v="39476.800000000003"/>
        <n v="5978.16"/>
        <n v="5403.2"/>
        <n v="6354.5999999999995"/>
        <n v="2254.1999999999998"/>
        <n v="6795.36"/>
        <n v="481236.8"/>
        <n v="40290"/>
        <n v="83733"/>
        <n v="622.19999999999993"/>
        <n v="4945.6000000000004"/>
        <n v="18613.349999999999"/>
        <n v="77560.2"/>
        <n v="91320.599999999991"/>
        <n v="24417.72"/>
        <n v="144405.36000000002"/>
        <n v="2458.1999999999998"/>
        <n v="9490"/>
        <n v="17320.45"/>
        <n v="61600"/>
        <n v="41584.35"/>
        <n v="17127.5"/>
        <n v="75259.8"/>
        <n v="30351.600000000002"/>
        <n v="2117"/>
        <n v="22488.399999999998"/>
        <n v="23602"/>
        <n v="490.16"/>
        <n v="2615.4"/>
        <n v="7740.4800000000005"/>
        <n v="1525.3600000000001"/>
        <n v="87124.5"/>
        <n v="121192"/>
        <n v="73655.199999999997"/>
        <n v="7686.6"/>
        <n v="1648.64"/>
        <n v="93976.2"/>
        <n v="107205"/>
        <n v="473729.85"/>
        <n v="248575.5"/>
        <n v="2818.8"/>
        <n v="12852"/>
        <n v="50529.16"/>
        <n v="41790.6"/>
        <n v="74919"/>
        <n v="76500"/>
        <n v="13803.300000000001"/>
        <n v="39888"/>
        <n v="36513.449999999997"/>
        <n v="6735.5"/>
        <n v="93974"/>
        <n v="66251.099999999991"/>
        <n v="65564.75"/>
        <n v="90210"/>
        <n v="58873.399999999994"/>
        <n v="109531.52"/>
        <n v="13166.5"/>
        <n v="3168"/>
        <n v="356576.36000000004"/>
        <n v="127656"/>
        <n v="23298.75"/>
        <n v="92454"/>
        <n v="50375.520000000004"/>
        <n v="438400"/>
        <n v="505116.80000000005"/>
        <n v="86874.48"/>
        <n v="151593"/>
        <n v="1250"/>
        <n v="943"/>
        <n v="46840"/>
        <n v="12622.5"/>
        <n v="2932"/>
        <n v="8938.7200000000012"/>
        <n v="387016.96000000002"/>
        <n v="41123.700000000004"/>
        <n v="233116.75"/>
        <n v="26593.599999999999"/>
        <n v="121860"/>
        <n v="115861.04999999999"/>
        <n v="54445.5"/>
        <n v="16178"/>
        <n v="3163.6"/>
        <n v="20994.149999999998"/>
        <n v="52355.6"/>
        <n v="71028.600000000006"/>
        <n v="94343.2"/>
        <n v="5001.12"/>
        <n v="198673.2"/>
        <n v="94940.1"/>
        <n v="22711.920000000002"/>
        <n v="37212.15"/>
        <n v="34820"/>
        <n v="1174.7"/>
        <n v="58855"/>
        <n v="941.16000000000008"/>
        <n v="9787.75"/>
        <n v="12668.4"/>
      </sharedItems>
    </cacheField>
    <cacheField name="Cost (assume 70% of Sales)" numFmtId="164">
      <sharedItems containsSemiMixedTypes="0" containsString="0" containsNumber="1" minValue="343.11200000000002" maxValue="353581.76"/>
    </cacheField>
    <cacheField name="Profit" numFmtId="164">
      <sharedItems containsSemiMixedTypes="0" containsString="0" containsNumber="1" minValue="147.048" maxValue="151535.04000000004"/>
    </cacheField>
  </cacheFields>
  <extLst>
    <ext xmlns:x14="http://schemas.microsoft.com/office/spreadsheetml/2009/9/main" uri="{725AE2AE-9491-48be-B2B4-4EB974FC3084}">
      <x14:pivotCacheDefinition pivotCacheId="320670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d v="2026-01-01T00:00:00"/>
    <x v="0"/>
    <x v="0"/>
    <x v="0"/>
    <x v="0"/>
    <x v="0"/>
    <x v="0"/>
    <x v="0"/>
    <n v="2"/>
    <n v="55000"/>
    <n v="0.1"/>
    <x v="0"/>
    <x v="0"/>
    <n v="69300"/>
    <n v="29700"/>
  </r>
  <r>
    <d v="2026-01-02T00:00:00"/>
    <x v="0"/>
    <x v="1"/>
    <x v="1"/>
    <x v="1"/>
    <x v="1"/>
    <x v="1"/>
    <x v="1"/>
    <n v="1"/>
    <n v="12000"/>
    <n v="0.05"/>
    <x v="1"/>
    <x v="1"/>
    <n v="7979.9999999999991"/>
    <n v="3420.0000000000009"/>
  </r>
  <r>
    <d v="2026-01-03T00:00:00"/>
    <x v="0"/>
    <x v="2"/>
    <x v="2"/>
    <x v="2"/>
    <x v="1"/>
    <x v="2"/>
    <x v="2"/>
    <n v="4"/>
    <n v="2446"/>
    <n v="0.05"/>
    <x v="2"/>
    <x v="2"/>
    <n v="6506.3599999999988"/>
    <n v="2788.4400000000005"/>
  </r>
  <r>
    <d v="2026-01-04T00:00:00"/>
    <x v="0"/>
    <x v="3"/>
    <x v="3"/>
    <x v="3"/>
    <x v="0"/>
    <x v="3"/>
    <x v="2"/>
    <n v="9"/>
    <n v="773"/>
    <n v="0.15"/>
    <x v="3"/>
    <x v="3"/>
    <n v="4139.415"/>
    <n v="1774.0349999999999"/>
  </r>
  <r>
    <d v="2026-01-05T00:00:00"/>
    <x v="0"/>
    <x v="4"/>
    <x v="4"/>
    <x v="4"/>
    <x v="0"/>
    <x v="4"/>
    <x v="3"/>
    <n v="2"/>
    <n v="14141"/>
    <n v="0.12"/>
    <x v="2"/>
    <x v="4"/>
    <n v="17421.712"/>
    <n v="7466.4480000000003"/>
  </r>
  <r>
    <d v="2026-01-06T00:00:00"/>
    <x v="0"/>
    <x v="5"/>
    <x v="5"/>
    <x v="3"/>
    <x v="0"/>
    <x v="5"/>
    <x v="3"/>
    <n v="5"/>
    <n v="8972"/>
    <n v="0.12"/>
    <x v="4"/>
    <x v="5"/>
    <n v="27633.760000000002"/>
    <n v="11843.04"/>
  </r>
  <r>
    <d v="2026-01-07T00:00:00"/>
    <x v="0"/>
    <x v="6"/>
    <x v="6"/>
    <x v="2"/>
    <x v="1"/>
    <x v="2"/>
    <x v="2"/>
    <n v="3"/>
    <n v="2166"/>
    <n v="0.08"/>
    <x v="2"/>
    <x v="6"/>
    <n v="4184.7119999999995"/>
    <n v="1793.4480000000003"/>
  </r>
  <r>
    <d v="2026-01-08T00:00:00"/>
    <x v="0"/>
    <x v="7"/>
    <x v="7"/>
    <x v="4"/>
    <x v="0"/>
    <x v="6"/>
    <x v="2"/>
    <n v="10"/>
    <n v="614"/>
    <n v="0.12"/>
    <x v="5"/>
    <x v="7"/>
    <n v="3782.24"/>
    <n v="1620.96"/>
  </r>
  <r>
    <d v="2026-01-09T00:00:00"/>
    <x v="0"/>
    <x v="8"/>
    <x v="8"/>
    <x v="0"/>
    <x v="0"/>
    <x v="3"/>
    <x v="2"/>
    <n v="7"/>
    <n v="1068"/>
    <n v="0.15"/>
    <x v="5"/>
    <x v="8"/>
    <n v="4448.2199999999993"/>
    <n v="1906.38"/>
  </r>
  <r>
    <d v="2026-01-10T00:00:00"/>
    <x v="0"/>
    <x v="9"/>
    <x v="2"/>
    <x v="5"/>
    <x v="2"/>
    <x v="3"/>
    <x v="2"/>
    <n v="2"/>
    <n v="1326"/>
    <n v="0.15"/>
    <x v="5"/>
    <x v="9"/>
    <n v="1577.9399999999998"/>
    <n v="676.26"/>
  </r>
  <r>
    <d v="2026-01-11T00:00:00"/>
    <x v="0"/>
    <x v="10"/>
    <x v="6"/>
    <x v="3"/>
    <x v="0"/>
    <x v="6"/>
    <x v="2"/>
    <n v="6"/>
    <n v="1287"/>
    <n v="0.12"/>
    <x v="2"/>
    <x v="10"/>
    <n v="4756.7519999999995"/>
    <n v="2038.6080000000002"/>
  </r>
  <r>
    <d v="2026-01-12T00:00:00"/>
    <x v="0"/>
    <x v="11"/>
    <x v="8"/>
    <x v="3"/>
    <x v="0"/>
    <x v="0"/>
    <x v="0"/>
    <n v="10"/>
    <n v="54686"/>
    <n v="0.12"/>
    <x v="3"/>
    <x v="11"/>
    <n v="336865.75999999995"/>
    <n v="144371.04000000004"/>
  </r>
  <r>
    <d v="2026-01-13T00:00:00"/>
    <x v="0"/>
    <x v="12"/>
    <x v="7"/>
    <x v="6"/>
    <x v="3"/>
    <x v="5"/>
    <x v="3"/>
    <n v="5"/>
    <n v="8058"/>
    <n v="0"/>
    <x v="5"/>
    <x v="12"/>
    <n v="28203"/>
    <n v="12087"/>
  </r>
  <r>
    <d v="2026-01-14T00:00:00"/>
    <x v="0"/>
    <x v="13"/>
    <x v="9"/>
    <x v="0"/>
    <x v="0"/>
    <x v="7"/>
    <x v="0"/>
    <n v="6"/>
    <n v="14690"/>
    <n v="0.05"/>
    <x v="5"/>
    <x v="13"/>
    <n v="58613.1"/>
    <n v="25119.9"/>
  </r>
  <r>
    <d v="2026-01-15T00:00:00"/>
    <x v="0"/>
    <x v="14"/>
    <x v="4"/>
    <x v="0"/>
    <x v="0"/>
    <x v="6"/>
    <x v="2"/>
    <n v="1"/>
    <n v="732"/>
    <n v="0.15"/>
    <x v="2"/>
    <x v="14"/>
    <n v="435.53999999999991"/>
    <n v="186.66000000000003"/>
  </r>
  <r>
    <d v="2026-01-16T00:00:00"/>
    <x v="0"/>
    <x v="15"/>
    <x v="8"/>
    <x v="5"/>
    <x v="2"/>
    <x v="6"/>
    <x v="2"/>
    <n v="5"/>
    <n v="1124"/>
    <n v="0.12"/>
    <x v="2"/>
    <x v="15"/>
    <n v="3461.92"/>
    <n v="1483.6800000000003"/>
  </r>
  <r>
    <d v="2026-01-17T00:00:00"/>
    <x v="0"/>
    <x v="16"/>
    <x v="10"/>
    <x v="6"/>
    <x v="3"/>
    <x v="2"/>
    <x v="2"/>
    <n v="7"/>
    <n v="2799"/>
    <n v="0.05"/>
    <x v="3"/>
    <x v="16"/>
    <n v="13029.344999999998"/>
    <n v="5584.005000000001"/>
  </r>
  <r>
    <d v="2026-01-18T00:00:00"/>
    <x v="0"/>
    <x v="17"/>
    <x v="11"/>
    <x v="6"/>
    <x v="3"/>
    <x v="4"/>
    <x v="3"/>
    <n v="6"/>
    <n v="14363"/>
    <n v="0.1"/>
    <x v="2"/>
    <x v="17"/>
    <n v="54292.139999999992"/>
    <n v="23268.060000000005"/>
  </r>
  <r>
    <d v="2026-01-19T00:00:00"/>
    <x v="0"/>
    <x v="18"/>
    <x v="11"/>
    <x v="3"/>
    <x v="0"/>
    <x v="7"/>
    <x v="0"/>
    <n v="7"/>
    <n v="15348"/>
    <n v="0.15"/>
    <x v="2"/>
    <x v="18"/>
    <n v="63924.419999999991"/>
    <n v="27396.18"/>
  </r>
  <r>
    <d v="2026-01-20T00:00:00"/>
    <x v="0"/>
    <x v="19"/>
    <x v="6"/>
    <x v="6"/>
    <x v="3"/>
    <x v="5"/>
    <x v="3"/>
    <n v="3"/>
    <n v="8847"/>
    <n v="0.08"/>
    <x v="4"/>
    <x v="19"/>
    <n v="17092.403999999999"/>
    <n v="7325.3160000000025"/>
  </r>
  <r>
    <d v="2026-01-21T00:00:00"/>
    <x v="0"/>
    <x v="20"/>
    <x v="7"/>
    <x v="5"/>
    <x v="2"/>
    <x v="0"/>
    <x v="0"/>
    <n v="3"/>
    <n v="54699"/>
    <n v="0.12"/>
    <x v="3"/>
    <x v="20"/>
    <n v="101083.75200000001"/>
    <n v="43321.608000000007"/>
  </r>
  <r>
    <d v="2026-01-22T00:00:00"/>
    <x v="0"/>
    <x v="21"/>
    <x v="4"/>
    <x v="6"/>
    <x v="3"/>
    <x v="6"/>
    <x v="2"/>
    <n v="3"/>
    <n v="964"/>
    <n v="0.15"/>
    <x v="5"/>
    <x v="21"/>
    <n v="1720.7399999999998"/>
    <n v="737.46"/>
  </r>
  <r>
    <d v="2026-01-23T00:00:00"/>
    <x v="0"/>
    <x v="22"/>
    <x v="12"/>
    <x v="7"/>
    <x v="3"/>
    <x v="6"/>
    <x v="2"/>
    <n v="10"/>
    <n v="949"/>
    <n v="0"/>
    <x v="3"/>
    <x v="22"/>
    <n v="6643"/>
    <n v="2847"/>
  </r>
  <r>
    <d v="2026-01-24T00:00:00"/>
    <x v="0"/>
    <x v="23"/>
    <x v="12"/>
    <x v="7"/>
    <x v="3"/>
    <x v="2"/>
    <x v="2"/>
    <n v="7"/>
    <n v="2911"/>
    <n v="0.15"/>
    <x v="3"/>
    <x v="23"/>
    <n v="12124.315000000001"/>
    <n v="5196.1350000000002"/>
  </r>
  <r>
    <d v="2026-01-25T00:00:00"/>
    <x v="0"/>
    <x v="24"/>
    <x v="11"/>
    <x v="3"/>
    <x v="0"/>
    <x v="4"/>
    <x v="3"/>
    <n v="5"/>
    <n v="14000"/>
    <n v="0.12"/>
    <x v="4"/>
    <x v="24"/>
    <n v="43120"/>
    <n v="18480"/>
  </r>
  <r>
    <d v="2026-01-26T00:00:00"/>
    <x v="0"/>
    <x v="25"/>
    <x v="8"/>
    <x v="6"/>
    <x v="3"/>
    <x v="7"/>
    <x v="0"/>
    <n v="3"/>
    <n v="14591"/>
    <n v="0.05"/>
    <x v="3"/>
    <x v="25"/>
    <n v="29109.044999999998"/>
    <n v="12475.305"/>
  </r>
  <r>
    <d v="2026-01-27T00:00:00"/>
    <x v="0"/>
    <x v="26"/>
    <x v="12"/>
    <x v="8"/>
    <x v="3"/>
    <x v="2"/>
    <x v="2"/>
    <n v="10"/>
    <n v="2015"/>
    <n v="0.15"/>
    <x v="4"/>
    <x v="26"/>
    <n v="11989.25"/>
    <n v="5138.25"/>
  </r>
  <r>
    <d v="2026-01-28T00:00:00"/>
    <x v="0"/>
    <x v="27"/>
    <x v="12"/>
    <x v="3"/>
    <x v="0"/>
    <x v="4"/>
    <x v="3"/>
    <n v="6"/>
    <n v="13937"/>
    <n v="0.1"/>
    <x v="3"/>
    <x v="27"/>
    <n v="52681.86"/>
    <n v="22577.940000000002"/>
  </r>
  <r>
    <d v="2026-01-29T00:00:00"/>
    <x v="0"/>
    <x v="28"/>
    <x v="2"/>
    <x v="4"/>
    <x v="0"/>
    <x v="5"/>
    <x v="3"/>
    <n v="4"/>
    <n v="8431"/>
    <n v="0.1"/>
    <x v="3"/>
    <x v="28"/>
    <n v="21246.12"/>
    <n v="9105.4800000000032"/>
  </r>
  <r>
    <d v="2026-01-30T00:00:00"/>
    <x v="0"/>
    <x v="29"/>
    <x v="3"/>
    <x v="1"/>
    <x v="1"/>
    <x v="2"/>
    <x v="2"/>
    <n v="1"/>
    <n v="2117"/>
    <n v="0"/>
    <x v="5"/>
    <x v="29"/>
    <n v="1481.8999999999999"/>
    <n v="635.10000000000014"/>
  </r>
  <r>
    <d v="2026-01-31T00:00:00"/>
    <x v="0"/>
    <x v="30"/>
    <x v="9"/>
    <x v="5"/>
    <x v="2"/>
    <x v="2"/>
    <x v="2"/>
    <n v="8"/>
    <n v="2959"/>
    <n v="0.05"/>
    <x v="3"/>
    <x v="30"/>
    <n v="15741.879999999997"/>
    <n v="6746.52"/>
  </r>
  <r>
    <d v="2026-02-01T00:00:00"/>
    <x v="1"/>
    <x v="31"/>
    <x v="2"/>
    <x v="9"/>
    <x v="4"/>
    <x v="1"/>
    <x v="1"/>
    <n v="2"/>
    <n v="11801"/>
    <n v="0"/>
    <x v="4"/>
    <x v="31"/>
    <n v="16521.399999999998"/>
    <n v="7080.6000000000022"/>
  </r>
  <r>
    <d v="2026-02-02T00:00:00"/>
    <x v="1"/>
    <x v="32"/>
    <x v="7"/>
    <x v="7"/>
    <x v="3"/>
    <x v="6"/>
    <x v="2"/>
    <n v="1"/>
    <n v="557"/>
    <n v="0.12"/>
    <x v="2"/>
    <x v="32"/>
    <n v="343.11200000000002"/>
    <n v="147.048"/>
  </r>
  <r>
    <d v="2026-02-03T00:00:00"/>
    <x v="1"/>
    <x v="33"/>
    <x v="13"/>
    <x v="3"/>
    <x v="0"/>
    <x v="3"/>
    <x v="2"/>
    <n v="2"/>
    <n v="1453"/>
    <n v="0.1"/>
    <x v="3"/>
    <x v="33"/>
    <n v="1830.78"/>
    <n v="784.62000000000012"/>
  </r>
  <r>
    <d v="2026-02-04T00:00:00"/>
    <x v="1"/>
    <x v="34"/>
    <x v="7"/>
    <x v="5"/>
    <x v="2"/>
    <x v="2"/>
    <x v="2"/>
    <n v="4"/>
    <n v="2199"/>
    <n v="0.12"/>
    <x v="3"/>
    <x v="34"/>
    <n v="5418.3360000000002"/>
    <n v="2322.1440000000002"/>
  </r>
  <r>
    <d v="2026-02-05T00:00:00"/>
    <x v="1"/>
    <x v="35"/>
    <x v="11"/>
    <x v="5"/>
    <x v="2"/>
    <x v="6"/>
    <x v="2"/>
    <n v="2"/>
    <n v="829"/>
    <n v="0.08"/>
    <x v="5"/>
    <x v="35"/>
    <n v="1067.752"/>
    <n v="457.60800000000017"/>
  </r>
  <r>
    <d v="2026-02-06T00:00:00"/>
    <x v="1"/>
    <x v="36"/>
    <x v="13"/>
    <x v="8"/>
    <x v="3"/>
    <x v="7"/>
    <x v="0"/>
    <n v="6"/>
    <n v="15285"/>
    <n v="0.05"/>
    <x v="5"/>
    <x v="36"/>
    <n v="60987.149999999994"/>
    <n v="26137.350000000006"/>
  </r>
  <r>
    <d v="2026-02-07T00:00:00"/>
    <x v="1"/>
    <x v="37"/>
    <x v="11"/>
    <x v="2"/>
    <x v="1"/>
    <x v="7"/>
    <x v="0"/>
    <n v="8"/>
    <n v="15149"/>
    <n v="0"/>
    <x v="3"/>
    <x v="37"/>
    <n v="84834.4"/>
    <n v="36357.600000000006"/>
  </r>
  <r>
    <d v="2026-02-08T00:00:00"/>
    <x v="1"/>
    <x v="38"/>
    <x v="12"/>
    <x v="2"/>
    <x v="1"/>
    <x v="5"/>
    <x v="3"/>
    <n v="10"/>
    <n v="8006"/>
    <n v="0.08"/>
    <x v="4"/>
    <x v="38"/>
    <n v="51558.639999999992"/>
    <n v="22096.560000000005"/>
  </r>
  <r>
    <d v="2026-02-09T00:00:00"/>
    <x v="1"/>
    <x v="39"/>
    <x v="11"/>
    <x v="2"/>
    <x v="1"/>
    <x v="3"/>
    <x v="2"/>
    <n v="5"/>
    <n v="1671"/>
    <n v="0.08"/>
    <x v="2"/>
    <x v="39"/>
    <n v="5380.62"/>
    <n v="2305.9800000000005"/>
  </r>
  <r>
    <d v="2026-02-10T00:00:00"/>
    <x v="1"/>
    <x v="40"/>
    <x v="6"/>
    <x v="6"/>
    <x v="3"/>
    <x v="6"/>
    <x v="2"/>
    <n v="4"/>
    <n v="448"/>
    <n v="0.08"/>
    <x v="2"/>
    <x v="40"/>
    <n v="1154.048"/>
    <n v="494.5920000000001"/>
  </r>
  <r>
    <d v="2026-02-11T00:00:00"/>
    <x v="1"/>
    <x v="41"/>
    <x v="9"/>
    <x v="8"/>
    <x v="3"/>
    <x v="1"/>
    <x v="1"/>
    <n v="9"/>
    <n v="11602"/>
    <n v="0.1"/>
    <x v="5"/>
    <x v="41"/>
    <n v="65783.34"/>
    <n v="28192.86"/>
  </r>
  <r>
    <d v="2026-02-12T00:00:00"/>
    <x v="1"/>
    <x v="42"/>
    <x v="6"/>
    <x v="5"/>
    <x v="2"/>
    <x v="7"/>
    <x v="0"/>
    <n v="7"/>
    <n v="15315"/>
    <n v="0"/>
    <x v="5"/>
    <x v="42"/>
    <n v="75043.5"/>
    <n v="32161.5"/>
  </r>
  <r>
    <d v="2026-02-13T00:00:00"/>
    <x v="1"/>
    <x v="43"/>
    <x v="5"/>
    <x v="0"/>
    <x v="0"/>
    <x v="0"/>
    <x v="0"/>
    <n v="9"/>
    <n v="55407"/>
    <n v="0.05"/>
    <x v="4"/>
    <x v="43"/>
    <n v="331610.89499999996"/>
    <n v="142118.95500000002"/>
  </r>
  <r>
    <d v="2026-02-14T00:00:00"/>
    <x v="1"/>
    <x v="44"/>
    <x v="4"/>
    <x v="5"/>
    <x v="2"/>
    <x v="0"/>
    <x v="0"/>
    <n v="5"/>
    <n v="55239"/>
    <n v="0.1"/>
    <x v="4"/>
    <x v="44"/>
    <n v="174002.84999999998"/>
    <n v="74572.650000000023"/>
  </r>
  <r>
    <d v="2026-02-15T00:00:00"/>
    <x v="1"/>
    <x v="45"/>
    <x v="11"/>
    <x v="3"/>
    <x v="0"/>
    <x v="3"/>
    <x v="2"/>
    <n v="4"/>
    <n v="783"/>
    <n v="0.1"/>
    <x v="2"/>
    <x v="45"/>
    <n v="1973.16"/>
    <n v="845.6400000000001"/>
  </r>
  <r>
    <d v="2026-02-16T00:00:00"/>
    <x v="1"/>
    <x v="46"/>
    <x v="7"/>
    <x v="1"/>
    <x v="1"/>
    <x v="2"/>
    <x v="2"/>
    <n v="7"/>
    <n v="2040"/>
    <n v="0.1"/>
    <x v="2"/>
    <x v="46"/>
    <n v="8996.4"/>
    <n v="3855.6000000000004"/>
  </r>
  <r>
    <d v="2026-02-17T00:00:00"/>
    <x v="1"/>
    <x v="47"/>
    <x v="12"/>
    <x v="6"/>
    <x v="3"/>
    <x v="0"/>
    <x v="0"/>
    <n v="1"/>
    <n v="54923"/>
    <n v="0.08"/>
    <x v="2"/>
    <x v="47"/>
    <n v="35370.411999999997"/>
    <n v="15158.748000000007"/>
  </r>
  <r>
    <d v="2026-02-18T00:00:00"/>
    <x v="1"/>
    <x v="48"/>
    <x v="4"/>
    <x v="9"/>
    <x v="4"/>
    <x v="7"/>
    <x v="0"/>
    <n v="3"/>
    <n v="15478"/>
    <n v="0.1"/>
    <x v="5"/>
    <x v="48"/>
    <n v="29253.42"/>
    <n v="12537.18"/>
  </r>
  <r>
    <d v="2026-02-19T00:00:00"/>
    <x v="1"/>
    <x v="49"/>
    <x v="7"/>
    <x v="2"/>
    <x v="1"/>
    <x v="5"/>
    <x v="3"/>
    <n v="10"/>
    <n v="8814"/>
    <n v="0.15"/>
    <x v="3"/>
    <x v="49"/>
    <n v="52443.299999999996"/>
    <n v="22475.700000000004"/>
  </r>
  <r>
    <d v="2026-02-20T00:00:00"/>
    <x v="1"/>
    <x v="50"/>
    <x v="10"/>
    <x v="8"/>
    <x v="3"/>
    <x v="7"/>
    <x v="0"/>
    <n v="5"/>
    <n v="15300"/>
    <n v="0"/>
    <x v="5"/>
    <x v="50"/>
    <n v="53550"/>
    <n v="22950"/>
  </r>
  <r>
    <d v="2026-02-21T00:00:00"/>
    <x v="1"/>
    <x v="51"/>
    <x v="4"/>
    <x v="7"/>
    <x v="3"/>
    <x v="7"/>
    <x v="0"/>
    <n v="1"/>
    <n v="15337"/>
    <n v="0.1"/>
    <x v="3"/>
    <x v="51"/>
    <n v="9662.31"/>
    <n v="4140.9900000000016"/>
  </r>
  <r>
    <d v="2026-02-22T00:00:00"/>
    <x v="1"/>
    <x v="52"/>
    <x v="10"/>
    <x v="1"/>
    <x v="1"/>
    <x v="5"/>
    <x v="3"/>
    <n v="5"/>
    <n v="8864"/>
    <n v="0.1"/>
    <x v="4"/>
    <x v="52"/>
    <n v="27921.599999999999"/>
    <n v="11966.400000000001"/>
  </r>
  <r>
    <d v="2026-02-23T00:00:00"/>
    <x v="1"/>
    <x v="53"/>
    <x v="10"/>
    <x v="8"/>
    <x v="3"/>
    <x v="4"/>
    <x v="3"/>
    <n v="3"/>
    <n v="14319"/>
    <n v="0.15"/>
    <x v="2"/>
    <x v="53"/>
    <n v="25559.414999999997"/>
    <n v="10954.035"/>
  </r>
  <r>
    <d v="2026-02-24T00:00:00"/>
    <x v="1"/>
    <x v="54"/>
    <x v="11"/>
    <x v="3"/>
    <x v="0"/>
    <x v="6"/>
    <x v="2"/>
    <n v="10"/>
    <n v="709"/>
    <n v="0.05"/>
    <x v="3"/>
    <x v="54"/>
    <n v="4714.8499999999995"/>
    <n v="2020.6500000000005"/>
  </r>
  <r>
    <d v="2026-02-25T00:00:00"/>
    <x v="1"/>
    <x v="55"/>
    <x v="11"/>
    <x v="2"/>
    <x v="1"/>
    <x v="1"/>
    <x v="1"/>
    <n v="8"/>
    <n v="12365"/>
    <n v="0.05"/>
    <x v="4"/>
    <x v="55"/>
    <n v="65781.8"/>
    <n v="28192.199999999997"/>
  </r>
  <r>
    <d v="2026-02-26T00:00:00"/>
    <x v="1"/>
    <x v="56"/>
    <x v="4"/>
    <x v="2"/>
    <x v="1"/>
    <x v="1"/>
    <x v="1"/>
    <n v="6"/>
    <n v="11623"/>
    <n v="0.05"/>
    <x v="3"/>
    <x v="56"/>
    <n v="46375.76999999999"/>
    <n v="19875.330000000002"/>
  </r>
  <r>
    <d v="2026-02-27T00:00:00"/>
    <x v="1"/>
    <x v="57"/>
    <x v="3"/>
    <x v="8"/>
    <x v="3"/>
    <x v="7"/>
    <x v="0"/>
    <n v="5"/>
    <n v="15427"/>
    <n v="0.15"/>
    <x v="4"/>
    <x v="57"/>
    <n v="45895.324999999997"/>
    <n v="19669.425000000003"/>
  </r>
  <r>
    <d v="2026-02-28T00:00:00"/>
    <x v="1"/>
    <x v="58"/>
    <x v="4"/>
    <x v="9"/>
    <x v="4"/>
    <x v="7"/>
    <x v="0"/>
    <n v="6"/>
    <n v="15035"/>
    <n v="0"/>
    <x v="2"/>
    <x v="58"/>
    <n v="63146.999999999993"/>
    <n v="27063.000000000007"/>
  </r>
  <r>
    <d v="2026-03-01T00:00:00"/>
    <x v="2"/>
    <x v="59"/>
    <x v="3"/>
    <x v="4"/>
    <x v="0"/>
    <x v="7"/>
    <x v="0"/>
    <n v="4"/>
    <n v="15493"/>
    <n v="0.05"/>
    <x v="4"/>
    <x v="59"/>
    <n v="41211.37999999999"/>
    <n v="17662.020000000004"/>
  </r>
  <r>
    <d v="2026-03-02T00:00:00"/>
    <x v="2"/>
    <x v="60"/>
    <x v="7"/>
    <x v="6"/>
    <x v="3"/>
    <x v="7"/>
    <x v="0"/>
    <n v="8"/>
    <n v="14882"/>
    <n v="0.08"/>
    <x v="5"/>
    <x v="60"/>
    <n v="76672.063999999998"/>
    <n v="32859.456000000006"/>
  </r>
  <r>
    <d v="2026-03-03T00:00:00"/>
    <x v="2"/>
    <x v="61"/>
    <x v="8"/>
    <x v="3"/>
    <x v="0"/>
    <x v="3"/>
    <x v="2"/>
    <n v="10"/>
    <n v="1549"/>
    <n v="0.15"/>
    <x v="4"/>
    <x v="61"/>
    <n v="9216.5499999999993"/>
    <n v="3949.9500000000007"/>
  </r>
  <r>
    <d v="2026-03-04T00:00:00"/>
    <x v="2"/>
    <x v="62"/>
    <x v="8"/>
    <x v="5"/>
    <x v="2"/>
    <x v="3"/>
    <x v="2"/>
    <n v="3"/>
    <n v="1200"/>
    <n v="0.12"/>
    <x v="5"/>
    <x v="62"/>
    <n v="2217.6"/>
    <n v="950.40000000000009"/>
  </r>
  <r>
    <d v="2026-03-05T00:00:00"/>
    <x v="2"/>
    <x v="63"/>
    <x v="9"/>
    <x v="2"/>
    <x v="1"/>
    <x v="0"/>
    <x v="0"/>
    <n v="7"/>
    <n v="55369"/>
    <n v="0.08"/>
    <x v="3"/>
    <x v="63"/>
    <n v="249603.45200000002"/>
    <n v="106972.90800000002"/>
  </r>
  <r>
    <d v="2026-03-06T00:00:00"/>
    <x v="2"/>
    <x v="64"/>
    <x v="5"/>
    <x v="9"/>
    <x v="4"/>
    <x v="4"/>
    <x v="3"/>
    <n v="10"/>
    <n v="14184"/>
    <n v="0.1"/>
    <x v="2"/>
    <x v="64"/>
    <n v="89359.2"/>
    <n v="38296.800000000003"/>
  </r>
  <r>
    <d v="2026-03-07T00:00:00"/>
    <x v="2"/>
    <x v="65"/>
    <x v="5"/>
    <x v="5"/>
    <x v="2"/>
    <x v="2"/>
    <x v="2"/>
    <n v="9"/>
    <n v="2725"/>
    <n v="0.05"/>
    <x v="4"/>
    <x v="65"/>
    <n v="16309.124999999998"/>
    <n v="6989.6250000000018"/>
  </r>
  <r>
    <d v="2026-03-08T00:00:00"/>
    <x v="2"/>
    <x v="66"/>
    <x v="12"/>
    <x v="8"/>
    <x v="3"/>
    <x v="1"/>
    <x v="1"/>
    <n v="8"/>
    <n v="12165"/>
    <n v="0.05"/>
    <x v="4"/>
    <x v="66"/>
    <n v="64717.799999999996"/>
    <n v="27736.200000000004"/>
  </r>
  <r>
    <d v="2026-03-09T00:00:00"/>
    <x v="2"/>
    <x v="67"/>
    <x v="13"/>
    <x v="3"/>
    <x v="0"/>
    <x v="4"/>
    <x v="3"/>
    <n v="4"/>
    <n v="13689"/>
    <n v="0.08"/>
    <x v="4"/>
    <x v="67"/>
    <n v="35262.864000000001"/>
    <n v="15112.656000000003"/>
  </r>
  <r>
    <d v="2026-03-10T00:00:00"/>
    <x v="2"/>
    <x v="68"/>
    <x v="5"/>
    <x v="6"/>
    <x v="3"/>
    <x v="0"/>
    <x v="0"/>
    <n v="8"/>
    <n v="54800"/>
    <n v="0"/>
    <x v="2"/>
    <x v="68"/>
    <n v="306880"/>
    <n v="131520"/>
  </r>
  <r>
    <d v="2026-03-11T00:00:00"/>
    <x v="2"/>
    <x v="69"/>
    <x v="11"/>
    <x v="4"/>
    <x v="0"/>
    <x v="0"/>
    <x v="0"/>
    <n v="10"/>
    <n v="54904"/>
    <n v="0.08"/>
    <x v="4"/>
    <x v="69"/>
    <n v="353581.76"/>
    <n v="151535.04000000004"/>
  </r>
  <r>
    <d v="2026-03-12T00:00:00"/>
    <x v="2"/>
    <x v="70"/>
    <x v="2"/>
    <x v="4"/>
    <x v="0"/>
    <x v="4"/>
    <x v="3"/>
    <n v="7"/>
    <n v="14103"/>
    <n v="0.12"/>
    <x v="5"/>
    <x v="70"/>
    <n v="60812.135999999991"/>
    <n v="26062.344000000005"/>
  </r>
  <r>
    <d v="2026-03-13T00:00:00"/>
    <x v="2"/>
    <x v="71"/>
    <x v="8"/>
    <x v="5"/>
    <x v="2"/>
    <x v="0"/>
    <x v="0"/>
    <n v="3"/>
    <n v="54925"/>
    <n v="0.08"/>
    <x v="3"/>
    <x v="71"/>
    <n v="106115.09999999999"/>
    <n v="45477.900000000009"/>
  </r>
  <r>
    <d v="2026-03-14T00:00:00"/>
    <x v="2"/>
    <x v="72"/>
    <x v="6"/>
    <x v="9"/>
    <x v="4"/>
    <x v="6"/>
    <x v="2"/>
    <n v="1"/>
    <n v="1250"/>
    <n v="0"/>
    <x v="3"/>
    <x v="72"/>
    <n v="875"/>
    <n v="375"/>
  </r>
  <r>
    <d v="2026-03-15T00:00:00"/>
    <x v="2"/>
    <x v="73"/>
    <x v="6"/>
    <x v="7"/>
    <x v="3"/>
    <x v="6"/>
    <x v="2"/>
    <n v="1"/>
    <n v="943"/>
    <n v="0"/>
    <x v="4"/>
    <x v="73"/>
    <n v="660.09999999999991"/>
    <n v="282.90000000000009"/>
  </r>
  <r>
    <d v="2026-03-16T00:00:00"/>
    <x v="2"/>
    <x v="74"/>
    <x v="11"/>
    <x v="4"/>
    <x v="0"/>
    <x v="1"/>
    <x v="1"/>
    <n v="4"/>
    <n v="11710"/>
    <n v="0"/>
    <x v="4"/>
    <x v="74"/>
    <n v="32788"/>
    <n v="14052"/>
  </r>
  <r>
    <d v="2026-03-17T00:00:00"/>
    <x v="2"/>
    <x v="75"/>
    <x v="5"/>
    <x v="9"/>
    <x v="4"/>
    <x v="2"/>
    <x v="2"/>
    <n v="5"/>
    <n v="2970"/>
    <n v="0.15"/>
    <x v="2"/>
    <x v="75"/>
    <n v="8835.75"/>
    <n v="3786.75"/>
  </r>
  <r>
    <d v="2026-03-18T00:00:00"/>
    <x v="2"/>
    <x v="76"/>
    <x v="5"/>
    <x v="6"/>
    <x v="3"/>
    <x v="3"/>
    <x v="2"/>
    <n v="4"/>
    <n v="733"/>
    <n v="0"/>
    <x v="3"/>
    <x v="76"/>
    <n v="2052.4"/>
    <n v="879.59999999999991"/>
  </r>
  <r>
    <d v="2026-03-19T00:00:00"/>
    <x v="2"/>
    <x v="77"/>
    <x v="6"/>
    <x v="4"/>
    <x v="0"/>
    <x v="3"/>
    <x v="2"/>
    <n v="7"/>
    <n v="1388"/>
    <n v="0.08"/>
    <x v="4"/>
    <x v="77"/>
    <n v="6257.1040000000003"/>
    <n v="2681.6160000000009"/>
  </r>
  <r>
    <d v="2026-03-20T00:00:00"/>
    <x v="2"/>
    <x v="78"/>
    <x v="10"/>
    <x v="6"/>
    <x v="3"/>
    <x v="0"/>
    <x v="0"/>
    <n v="8"/>
    <n v="54974"/>
    <n v="0.12"/>
    <x v="4"/>
    <x v="78"/>
    <n v="270911.87199999997"/>
    <n v="116105.08800000005"/>
  </r>
  <r>
    <d v="2026-03-21T00:00:00"/>
    <x v="2"/>
    <x v="79"/>
    <x v="10"/>
    <x v="2"/>
    <x v="1"/>
    <x v="7"/>
    <x v="0"/>
    <n v="3"/>
    <n v="15231"/>
    <n v="0.1"/>
    <x v="4"/>
    <x v="79"/>
    <n v="28786.59"/>
    <n v="12337.110000000004"/>
  </r>
  <r>
    <d v="2026-03-22T00:00:00"/>
    <x v="2"/>
    <x v="80"/>
    <x v="12"/>
    <x v="7"/>
    <x v="3"/>
    <x v="0"/>
    <x v="0"/>
    <n v="5"/>
    <n v="54851"/>
    <n v="0.15"/>
    <x v="4"/>
    <x v="80"/>
    <n v="163181.72499999998"/>
    <n v="69935.025000000023"/>
  </r>
  <r>
    <d v="2026-03-23T00:00:00"/>
    <x v="2"/>
    <x v="81"/>
    <x v="7"/>
    <x v="1"/>
    <x v="1"/>
    <x v="7"/>
    <x v="0"/>
    <n v="2"/>
    <n v="15110"/>
    <n v="0.12"/>
    <x v="4"/>
    <x v="81"/>
    <n v="18615.519999999997"/>
    <n v="7978.0800000000017"/>
  </r>
  <r>
    <d v="2026-03-24T00:00:00"/>
    <x v="2"/>
    <x v="82"/>
    <x v="11"/>
    <x v="4"/>
    <x v="0"/>
    <x v="4"/>
    <x v="3"/>
    <n v="9"/>
    <n v="13540"/>
    <n v="0"/>
    <x v="5"/>
    <x v="82"/>
    <n v="85302"/>
    <n v="36558"/>
  </r>
  <r>
    <d v="2026-03-25T00:00:00"/>
    <x v="2"/>
    <x v="83"/>
    <x v="3"/>
    <x v="2"/>
    <x v="1"/>
    <x v="4"/>
    <x v="3"/>
    <n v="9"/>
    <n v="13551"/>
    <n v="0.05"/>
    <x v="3"/>
    <x v="83"/>
    <n v="81102.734999999986"/>
    <n v="34758.315000000002"/>
  </r>
  <r>
    <d v="2026-03-26T00:00:00"/>
    <x v="2"/>
    <x v="84"/>
    <x v="7"/>
    <x v="6"/>
    <x v="3"/>
    <x v="1"/>
    <x v="1"/>
    <n v="5"/>
    <n v="12099"/>
    <n v="0.1"/>
    <x v="3"/>
    <x v="84"/>
    <n v="38111.85"/>
    <n v="16333.650000000001"/>
  </r>
  <r>
    <d v="2026-03-27T00:00:00"/>
    <x v="2"/>
    <x v="85"/>
    <x v="8"/>
    <x v="8"/>
    <x v="3"/>
    <x v="5"/>
    <x v="3"/>
    <n v="2"/>
    <n v="8089"/>
    <n v="0"/>
    <x v="3"/>
    <x v="85"/>
    <n v="11324.599999999999"/>
    <n v="4853.4000000000015"/>
  </r>
  <r>
    <d v="2026-03-28T00:00:00"/>
    <x v="2"/>
    <x v="86"/>
    <x v="6"/>
    <x v="4"/>
    <x v="0"/>
    <x v="3"/>
    <x v="2"/>
    <n v="5"/>
    <n v="719"/>
    <n v="0.12"/>
    <x v="5"/>
    <x v="86"/>
    <n v="2214.52"/>
    <n v="949.07999999999993"/>
  </r>
  <r>
    <d v="2026-03-29T00:00:00"/>
    <x v="2"/>
    <x v="87"/>
    <x v="13"/>
    <x v="8"/>
    <x v="3"/>
    <x v="5"/>
    <x v="3"/>
    <n v="3"/>
    <n v="8233"/>
    <n v="0.15"/>
    <x v="5"/>
    <x v="87"/>
    <n v="14695.904999999997"/>
    <n v="6298.2450000000008"/>
  </r>
  <r>
    <d v="2026-03-30T00:00:00"/>
    <x v="2"/>
    <x v="88"/>
    <x v="4"/>
    <x v="1"/>
    <x v="1"/>
    <x v="1"/>
    <x v="1"/>
    <n v="5"/>
    <n v="11899"/>
    <n v="0.12"/>
    <x v="3"/>
    <x v="88"/>
    <n v="36648.92"/>
    <n v="15706.68"/>
  </r>
  <r>
    <d v="2026-03-31T00:00:00"/>
    <x v="2"/>
    <x v="89"/>
    <x v="12"/>
    <x v="7"/>
    <x v="3"/>
    <x v="7"/>
    <x v="0"/>
    <n v="5"/>
    <n v="15441"/>
    <n v="0.08"/>
    <x v="5"/>
    <x v="89"/>
    <n v="49720.020000000004"/>
    <n v="21308.58"/>
  </r>
  <r>
    <d v="2026-04-01T00:00:00"/>
    <x v="3"/>
    <x v="90"/>
    <x v="5"/>
    <x v="8"/>
    <x v="3"/>
    <x v="4"/>
    <x v="3"/>
    <n v="8"/>
    <n v="13874"/>
    <n v="0.15"/>
    <x v="5"/>
    <x v="90"/>
    <n v="66040.239999999991"/>
    <n v="28302.960000000006"/>
  </r>
  <r>
    <d v="2026-04-02T00:00:00"/>
    <x v="3"/>
    <x v="91"/>
    <x v="7"/>
    <x v="6"/>
    <x v="3"/>
    <x v="3"/>
    <x v="2"/>
    <n v="6"/>
    <n v="906"/>
    <n v="0.08"/>
    <x v="2"/>
    <x v="91"/>
    <n v="3500.7839999999997"/>
    <n v="1500.3360000000002"/>
  </r>
  <r>
    <d v="2026-04-03T00:00:00"/>
    <x v="3"/>
    <x v="92"/>
    <x v="13"/>
    <x v="7"/>
    <x v="3"/>
    <x v="0"/>
    <x v="0"/>
    <n v="4"/>
    <n v="55187"/>
    <n v="0.1"/>
    <x v="4"/>
    <x v="92"/>
    <n v="139071.24"/>
    <n v="59601.960000000021"/>
  </r>
  <r>
    <d v="2026-04-04T00:00:00"/>
    <x v="3"/>
    <x v="93"/>
    <x v="3"/>
    <x v="5"/>
    <x v="2"/>
    <x v="1"/>
    <x v="1"/>
    <n v="9"/>
    <n v="11721"/>
    <n v="0.1"/>
    <x v="2"/>
    <x v="93"/>
    <n v="66458.070000000007"/>
    <n v="28482.03"/>
  </r>
  <r>
    <d v="2026-04-05T00:00:00"/>
    <x v="3"/>
    <x v="94"/>
    <x v="11"/>
    <x v="8"/>
    <x v="3"/>
    <x v="5"/>
    <x v="3"/>
    <n v="3"/>
    <n v="8603"/>
    <n v="0.12"/>
    <x v="2"/>
    <x v="94"/>
    <n v="15898.344000000001"/>
    <n v="6813.5760000000009"/>
  </r>
  <r>
    <d v="2026-04-06T00:00:00"/>
    <x v="3"/>
    <x v="95"/>
    <x v="5"/>
    <x v="4"/>
    <x v="0"/>
    <x v="7"/>
    <x v="0"/>
    <n v="3"/>
    <n v="14593"/>
    <n v="0.15"/>
    <x v="4"/>
    <x v="95"/>
    <n v="26048.505000000001"/>
    <n v="11163.645"/>
  </r>
  <r>
    <d v="2026-04-07T00:00:00"/>
    <x v="3"/>
    <x v="96"/>
    <x v="12"/>
    <x v="5"/>
    <x v="2"/>
    <x v="5"/>
    <x v="3"/>
    <n v="4"/>
    <n v="8705"/>
    <n v="0"/>
    <x v="2"/>
    <x v="96"/>
    <n v="24374"/>
    <n v="10446"/>
  </r>
  <r>
    <d v="2026-04-08T00:00:00"/>
    <x v="3"/>
    <x v="97"/>
    <x v="10"/>
    <x v="6"/>
    <x v="3"/>
    <x v="6"/>
    <x v="2"/>
    <n v="2"/>
    <n v="691"/>
    <n v="0.15"/>
    <x v="5"/>
    <x v="97"/>
    <n v="822.29"/>
    <n v="352.41000000000008"/>
  </r>
  <r>
    <d v="2026-04-09T00:00:00"/>
    <x v="3"/>
    <x v="98"/>
    <x v="3"/>
    <x v="3"/>
    <x v="0"/>
    <x v="1"/>
    <x v="1"/>
    <n v="5"/>
    <n v="11771"/>
    <n v="0"/>
    <x v="5"/>
    <x v="98"/>
    <n v="41198.5"/>
    <n v="17656.5"/>
  </r>
  <r>
    <d v="2026-04-10T00:00:00"/>
    <x v="3"/>
    <x v="99"/>
    <x v="11"/>
    <x v="7"/>
    <x v="3"/>
    <x v="6"/>
    <x v="2"/>
    <n v="3"/>
    <n v="341"/>
    <n v="0.08"/>
    <x v="5"/>
    <x v="99"/>
    <n v="658.81200000000001"/>
    <n v="282.34800000000007"/>
  </r>
  <r>
    <d v="2026-04-11T00:00:00"/>
    <x v="3"/>
    <x v="100"/>
    <x v="9"/>
    <x v="0"/>
    <x v="0"/>
    <x v="1"/>
    <x v="1"/>
    <n v="1"/>
    <n v="11515"/>
    <n v="0.15"/>
    <x v="5"/>
    <x v="100"/>
    <n v="6851.4249999999993"/>
    <n v="2936.3250000000007"/>
  </r>
  <r>
    <d v="2026-04-12T00:00:00"/>
    <x v="3"/>
    <x v="101"/>
    <x v="11"/>
    <x v="2"/>
    <x v="1"/>
    <x v="7"/>
    <x v="0"/>
    <n v="1"/>
    <n v="14904"/>
    <n v="0.15"/>
    <x v="5"/>
    <x v="101"/>
    <n v="8867.8799999999992"/>
    <n v="3800.52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4AF65-A730-4FDE-B567-23F462205B0A}" name="Profit by 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Category">
  <location ref="D13:E18" firstHeaderRow="1" firstDataRow="1" firstDataCol="1"/>
  <pivotFields count="15">
    <pivotField compact="0" numFmtId="14"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items count="6">
        <item x="4"/>
        <item x="2"/>
        <item x="0"/>
        <item x="3"/>
        <item x="1"/>
        <item t="default"/>
      </items>
    </pivotField>
    <pivotField compact="0" outline="0" showAll="0"/>
    <pivotField axis="axisRow" compact="0" outline="0" showAll="0">
      <items count="5">
        <item x="2"/>
        <item x="0"/>
        <item x="3"/>
        <item x="1"/>
        <item t="default"/>
      </items>
    </pivotField>
    <pivotField compact="0" outline="0" showAll="0"/>
    <pivotField compact="0" numFmtId="164" outline="0" showAll="0"/>
    <pivotField compact="0" numFmtId="9" outline="0" showAll="0"/>
    <pivotField compact="0" outline="0" showAll="0">
      <items count="7">
        <item x="2"/>
        <item x="5"/>
        <item x="0"/>
        <item x="4"/>
        <item x="1"/>
        <item x="3"/>
        <item t="default"/>
      </items>
    </pivotField>
    <pivotField compact="0" numFmtId="164" outline="0" showAll="0"/>
    <pivotField compact="0" numFmtId="164" outline="0" showAll="0"/>
    <pivotField dataField="1" compact="0" numFmtId="164" outline="0" showAll="0"/>
  </pivotFields>
  <rowFields count="1">
    <field x="7"/>
  </rowFields>
  <rowItems count="5">
    <i>
      <x/>
    </i>
    <i>
      <x v="1"/>
    </i>
    <i>
      <x v="2"/>
    </i>
    <i>
      <x v="3"/>
    </i>
    <i t="grand">
      <x/>
    </i>
  </rowItems>
  <colItems count="1">
    <i/>
  </colItems>
  <dataFields count="1">
    <dataField name="Sum of Profi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B6A56F-FC18-443B-B5AA-35947F38B5FD}" name="Sales by Produc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rowHeaderCaption="Product">
  <location ref="A13:B22" firstHeaderRow="1" firstDataRow="1" firstDataCol="1"/>
  <pivotFields count="15">
    <pivotField compact="0" numFmtId="14"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items count="6">
        <item x="4"/>
        <item x="2"/>
        <item x="0"/>
        <item x="3"/>
        <item x="1"/>
        <item t="default"/>
      </items>
    </pivotField>
    <pivotField axis="axisRow" compact="0" outline="0" showAll="0">
      <items count="9">
        <item x="4"/>
        <item x="3"/>
        <item x="0"/>
        <item x="7"/>
        <item x="6"/>
        <item x="5"/>
        <item x="1"/>
        <item x="2"/>
        <item t="default"/>
      </items>
    </pivotField>
    <pivotField compact="0" outline="0" showAll="0">
      <items count="5">
        <item x="2"/>
        <item x="0"/>
        <item x="3"/>
        <item x="1"/>
        <item t="default"/>
      </items>
    </pivotField>
    <pivotField compact="0" outline="0" showAll="0"/>
    <pivotField compact="0" numFmtId="164" outline="0" showAll="0"/>
    <pivotField compact="0" numFmtId="9" outline="0" showAll="0"/>
    <pivotField compact="0" outline="0" showAll="0">
      <items count="7">
        <item x="2"/>
        <item x="5"/>
        <item x="0"/>
        <item x="4"/>
        <item x="1"/>
        <item x="3"/>
        <item t="default"/>
      </items>
    </pivotField>
    <pivotField dataField="1" compact="0" numFmtId="164" outline="0" showAll="0"/>
    <pivotField compact="0" numFmtId="164" outline="0" showAll="0"/>
    <pivotField compact="0" numFmtId="164" outline="0" showAll="0"/>
  </pivotFields>
  <rowFields count="1">
    <field x="6"/>
  </rowFields>
  <rowItems count="9">
    <i>
      <x/>
    </i>
    <i>
      <x v="1"/>
    </i>
    <i>
      <x v="2"/>
    </i>
    <i>
      <x v="3"/>
    </i>
    <i>
      <x v="4"/>
    </i>
    <i>
      <x v="5"/>
    </i>
    <i>
      <x v="6"/>
    </i>
    <i>
      <x v="7"/>
    </i>
    <i t="grand">
      <x/>
    </i>
  </rowItems>
  <colItems count="1">
    <i/>
  </colItems>
  <dataFields count="1">
    <dataField name="Sum of Total Sales" fld="12"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086F62-2692-4F26-B277-3BAA2491C443}" name="Sales by Top Customer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Customer name">
  <location ref="J3:K18" firstHeaderRow="1" firstDataRow="1" firstDataCol="1"/>
  <pivotFields count="15">
    <pivotField compact="0" numFmtId="14" outline="0" showAll="0"/>
    <pivotField compact="0" outline="0" showAll="0">
      <items count="5">
        <item x="0"/>
        <item x="1"/>
        <item x="2"/>
        <item x="3"/>
        <item t="default"/>
      </items>
    </pivotField>
    <pivotField compact="0" outline="0" showAll="0"/>
    <pivotField axis="axisRow" compact="0" outline="0" showAll="0" sortType="descending">
      <items count="15">
        <item x="0"/>
        <item x="4"/>
        <item x="13"/>
        <item x="12"/>
        <item x="7"/>
        <item x="8"/>
        <item x="11"/>
        <item x="6"/>
        <item x="1"/>
        <item x="9"/>
        <item x="10"/>
        <item x="2"/>
        <item x="5"/>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6">
        <item x="4"/>
        <item x="2"/>
        <item x="0"/>
        <item x="3"/>
        <item x="1"/>
        <item t="default"/>
      </items>
    </pivotField>
    <pivotField compact="0" outline="0" showAll="0"/>
    <pivotField compact="0" outline="0" showAll="0">
      <items count="5">
        <item x="2"/>
        <item x="0"/>
        <item x="3"/>
        <item x="1"/>
        <item t="default"/>
      </items>
    </pivotField>
    <pivotField compact="0" outline="0" showAll="0"/>
    <pivotField compact="0" numFmtId="164" outline="0" showAll="0"/>
    <pivotField compact="0" numFmtId="9" outline="0" showAll="0"/>
    <pivotField compact="0" outline="0" showAll="0">
      <items count="7">
        <item x="2"/>
        <item x="5"/>
        <item x="0"/>
        <item x="4"/>
        <item x="1"/>
        <item x="3"/>
        <item t="default"/>
      </items>
    </pivotField>
    <pivotField dataField="1" compact="0" numFmtId="164" outline="0" showAll="0"/>
    <pivotField compact="0" numFmtId="164" outline="0" showAll="0"/>
    <pivotField compact="0" numFmtId="164" outline="0" showAll="0"/>
  </pivotFields>
  <rowFields count="1">
    <field x="3"/>
  </rowFields>
  <rowItems count="15">
    <i>
      <x v="12"/>
    </i>
    <i>
      <x v="6"/>
    </i>
    <i>
      <x v="5"/>
    </i>
    <i>
      <x v="3"/>
    </i>
    <i>
      <x v="10"/>
    </i>
    <i>
      <x v="9"/>
    </i>
    <i>
      <x v="1"/>
    </i>
    <i>
      <x v="4"/>
    </i>
    <i>
      <x v="13"/>
    </i>
    <i>
      <x v="2"/>
    </i>
    <i>
      <x v="7"/>
    </i>
    <i>
      <x v="11"/>
    </i>
    <i>
      <x/>
    </i>
    <i>
      <x v="8"/>
    </i>
    <i t="grand">
      <x/>
    </i>
  </rowItems>
  <colItems count="1">
    <i/>
  </colItems>
  <dataFields count="1">
    <dataField name="Sum of Total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BB3F60-CDB1-425C-93AC-463062E0D23D}" name="Sales by 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rowHeaderCaption="Region">
  <location ref="A3:B9" firstHeaderRow="1" firstDataRow="1" firstDataCol="1"/>
  <pivotFields count="15">
    <pivotField compact="0" numFmtId="14" outline="0" showAll="0"/>
    <pivotField compact="0" outline="0" showAll="0">
      <items count="5">
        <item x="0"/>
        <item x="1"/>
        <item x="2"/>
        <item x="3"/>
        <item t="default"/>
      </items>
    </pivotField>
    <pivotField compact="0" outline="0" showAll="0"/>
    <pivotField compact="0" outline="0" showAll="0"/>
    <pivotField compact="0" outline="0" showAll="0"/>
    <pivotField axis="axisRow" compact="0" outline="0" showAll="0">
      <items count="6">
        <item x="4"/>
        <item x="2"/>
        <item x="0"/>
        <item x="3"/>
        <item x="1"/>
        <item t="default"/>
      </items>
    </pivotField>
    <pivotField compact="0" outline="0" showAll="0"/>
    <pivotField compact="0" outline="0" showAll="0">
      <items count="5">
        <item x="2"/>
        <item x="0"/>
        <item x="3"/>
        <item x="1"/>
        <item t="default"/>
      </items>
    </pivotField>
    <pivotField compact="0" outline="0" showAll="0"/>
    <pivotField compact="0" numFmtId="164" outline="0" showAll="0"/>
    <pivotField compact="0" numFmtId="9" outline="0" showAll="0"/>
    <pivotField compact="0" outline="0" showAll="0">
      <items count="7">
        <item x="2"/>
        <item x="5"/>
        <item x="0"/>
        <item x="4"/>
        <item x="1"/>
        <item x="3"/>
        <item t="default"/>
      </items>
    </pivotField>
    <pivotField dataField="1" compact="0" numFmtId="164" outline="0" showAll="0">
      <items count="103">
        <item x="32"/>
        <item x="14"/>
        <item x="99"/>
        <item x="73"/>
        <item x="97"/>
        <item x="72"/>
        <item x="35"/>
        <item x="40"/>
        <item x="29"/>
        <item x="9"/>
        <item x="21"/>
        <item x="33"/>
        <item x="45"/>
        <item x="76"/>
        <item x="86"/>
        <item x="62"/>
        <item x="15"/>
        <item x="91"/>
        <item x="7"/>
        <item x="3"/>
        <item x="6"/>
        <item x="8"/>
        <item x="54"/>
        <item x="10"/>
        <item x="39"/>
        <item x="34"/>
        <item x="77"/>
        <item x="2"/>
        <item x="22"/>
        <item x="100"/>
        <item x="1"/>
        <item x="75"/>
        <item x="101"/>
        <item x="46"/>
        <item x="61"/>
        <item x="51"/>
        <item x="85"/>
        <item x="26"/>
        <item x="23"/>
        <item x="16"/>
        <item x="87"/>
        <item x="30"/>
        <item x="94"/>
        <item x="65"/>
        <item x="31"/>
        <item x="19"/>
        <item x="4"/>
        <item x="81"/>
        <item x="28"/>
        <item x="96"/>
        <item x="53"/>
        <item x="95"/>
        <item x="5"/>
        <item x="52"/>
        <item x="12"/>
        <item x="79"/>
        <item x="25"/>
        <item x="48"/>
        <item x="74"/>
        <item x="67"/>
        <item x="47"/>
        <item x="88"/>
        <item x="84"/>
        <item x="98"/>
        <item x="59"/>
        <item x="24"/>
        <item x="57"/>
        <item x="56"/>
        <item x="89"/>
        <item x="38"/>
        <item x="49"/>
        <item x="27"/>
        <item x="50"/>
        <item x="17"/>
        <item x="13"/>
        <item x="70"/>
        <item x="36"/>
        <item x="58"/>
        <item x="18"/>
        <item x="66"/>
        <item x="55"/>
        <item x="41"/>
        <item x="90"/>
        <item x="93"/>
        <item x="0"/>
        <item x="42"/>
        <item x="60"/>
        <item x="83"/>
        <item x="37"/>
        <item x="82"/>
        <item x="64"/>
        <item x="20"/>
        <item x="71"/>
        <item x="92"/>
        <item x="80"/>
        <item x="44"/>
        <item x="63"/>
        <item x="78"/>
        <item x="68"/>
        <item x="43"/>
        <item x="11"/>
        <item x="69"/>
        <item t="default"/>
      </items>
    </pivotField>
    <pivotField compact="0" numFmtId="164" outline="0" showAll="0"/>
    <pivotField compact="0" numFmtId="164" outline="0" showAll="0"/>
  </pivotFields>
  <rowFields count="1">
    <field x="5"/>
  </rowFields>
  <rowItems count="6">
    <i>
      <x/>
    </i>
    <i>
      <x v="1"/>
    </i>
    <i>
      <x v="2"/>
    </i>
    <i>
      <x v="3"/>
    </i>
    <i>
      <x v="4"/>
    </i>
    <i t="grand">
      <x/>
    </i>
  </rowItems>
  <colItems count="1">
    <i/>
  </colItems>
  <dataFields count="1">
    <dataField name="Sum of Total Sales" fld="12"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E1186E-E5C5-487B-B9D1-67A393A5C02A}" name="Sales by Month"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rowHeaderCaption="Month">
  <location ref="G11:H16" firstHeaderRow="1" firstDataRow="1" firstDataCol="1"/>
  <pivotFields count="15">
    <pivotField compact="0" numFmtId="14" outline="0" showAll="0"/>
    <pivotField axis="axisRow" compact="0" outline="0" showAll="0">
      <items count="5">
        <item x="0"/>
        <item x="1"/>
        <item x="2"/>
        <item x="3"/>
        <item t="default"/>
      </items>
    </pivotField>
    <pivotField compact="0" outline="0" showAll="0"/>
    <pivotField compact="0" outline="0" showAll="0"/>
    <pivotField compact="0" outline="0" showAll="0"/>
    <pivotField compact="0" outline="0" showAll="0">
      <items count="6">
        <item x="4"/>
        <item x="2"/>
        <item x="0"/>
        <item x="3"/>
        <item x="1"/>
        <item t="default"/>
      </items>
    </pivotField>
    <pivotField compact="0" outline="0" showAll="0"/>
    <pivotField compact="0" outline="0" showAll="0">
      <items count="5">
        <item x="2"/>
        <item x="0"/>
        <item x="3"/>
        <item x="1"/>
        <item t="default"/>
      </items>
    </pivotField>
    <pivotField compact="0" outline="0" showAll="0"/>
    <pivotField compact="0" numFmtId="164" outline="0" showAll="0"/>
    <pivotField compact="0" numFmtId="9" outline="0" showAll="0"/>
    <pivotField compact="0" outline="0" showAll="0">
      <items count="7">
        <item x="2"/>
        <item x="5"/>
        <item x="0"/>
        <item x="4"/>
        <item x="1"/>
        <item x="3"/>
        <item t="default"/>
      </items>
    </pivotField>
    <pivotField dataField="1" compact="0" numFmtId="164" outline="0" showAll="0"/>
    <pivotField compact="0" numFmtId="164" outline="0" showAll="0"/>
    <pivotField compact="0" numFmtId="164" outline="0" showAll="0"/>
  </pivotFields>
  <rowFields count="1">
    <field x="1"/>
  </rowFields>
  <rowItems count="5">
    <i>
      <x/>
    </i>
    <i>
      <x v="1"/>
    </i>
    <i>
      <x v="2"/>
    </i>
    <i>
      <x v="3"/>
    </i>
    <i t="grand">
      <x/>
    </i>
  </rowItems>
  <colItems count="1">
    <i/>
  </colItems>
  <dataFields count="1">
    <dataField name="Sum of Total Sales" fld="12"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5C5C99-52BA-4B67-9AB5-A8ADF37B48D0}" name="Sales by 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Category">
  <location ref="G3:H8" firstHeaderRow="1" firstDataRow="1" firstDataCol="1"/>
  <pivotFields count="15">
    <pivotField compact="0" numFmtId="14"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items count="6">
        <item x="4"/>
        <item x="2"/>
        <item x="0"/>
        <item x="3"/>
        <item x="1"/>
        <item t="default"/>
      </items>
    </pivotField>
    <pivotField compact="0" outline="0" showAll="0"/>
    <pivotField axis="axisRow" compact="0" outline="0" showAll="0">
      <items count="5">
        <item x="2"/>
        <item x="0"/>
        <item x="3"/>
        <item x="1"/>
        <item t="default"/>
      </items>
    </pivotField>
    <pivotField compact="0" outline="0" showAll="0"/>
    <pivotField compact="0" numFmtId="164" outline="0" showAll="0"/>
    <pivotField compact="0" numFmtId="9" outline="0" showAll="0"/>
    <pivotField compact="0" outline="0" showAll="0">
      <items count="7">
        <item x="2"/>
        <item x="5"/>
        <item x="0"/>
        <item x="4"/>
        <item x="1"/>
        <item x="3"/>
        <item t="default"/>
      </items>
    </pivotField>
    <pivotField dataField="1" compact="0" numFmtId="164" outline="0" showAll="0"/>
    <pivotField compact="0" numFmtId="164" outline="0" showAll="0"/>
    <pivotField compact="0" numFmtId="164" outline="0" showAll="0"/>
  </pivotFields>
  <rowFields count="1">
    <field x="7"/>
  </rowFields>
  <rowItems count="5">
    <i>
      <x/>
    </i>
    <i>
      <x v="1"/>
    </i>
    <i>
      <x v="2"/>
    </i>
    <i>
      <x v="3"/>
    </i>
    <i t="grand">
      <x/>
    </i>
  </rowItems>
  <colItems count="1">
    <i/>
  </colItems>
  <dataFields count="1">
    <dataField name="Sum of Total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EE809F-36D3-4ED9-B9D0-EDED1036466E}" name="Sales by Salespers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rowHeaderCaption="Salesperson name">
  <location ref="D3:E10" firstHeaderRow="1" firstDataRow="1" firstDataCol="1"/>
  <pivotFields count="15">
    <pivotField compact="0" numFmtId="14" outline="0" showAll="0"/>
    <pivotField compact="0" outline="0" showAll="0">
      <items count="5">
        <item x="0"/>
        <item x="1"/>
        <item x="2"/>
        <item x="3"/>
        <item t="default"/>
      </items>
    </pivotField>
    <pivotField compact="0" outline="0" showAll="0"/>
    <pivotField compact="0" outline="0" showAll="0" sortType="descending">
      <items count="15">
        <item x="0"/>
        <item x="4"/>
        <item x="13"/>
        <item x="12"/>
        <item x="7"/>
        <item x="8"/>
        <item x="11"/>
        <item x="6"/>
        <item x="1"/>
        <item x="9"/>
        <item x="10"/>
        <item x="2"/>
        <item x="5"/>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6">
        <item x="4"/>
        <item x="2"/>
        <item x="0"/>
        <item x="3"/>
        <item x="1"/>
        <item t="default"/>
      </items>
    </pivotField>
    <pivotField compact="0" outline="0" showAll="0"/>
    <pivotField compact="0" outline="0" showAll="0">
      <items count="5">
        <item x="2"/>
        <item x="0"/>
        <item x="3"/>
        <item x="1"/>
        <item t="default"/>
      </items>
    </pivotField>
    <pivotField compact="0" outline="0" showAll="0"/>
    <pivotField compact="0" numFmtId="164" outline="0" showAll="0"/>
    <pivotField compact="0" numFmtId="9" outline="0" showAll="0"/>
    <pivotField axis="axisRow" compact="0" outline="0" showAll="0" sortType="descending">
      <items count="7">
        <item x="2"/>
        <item x="5"/>
        <item x="0"/>
        <item x="4"/>
        <item x="1"/>
        <item x="3"/>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numFmtId="164" outline="0" showAll="0"/>
    <pivotField compact="0" numFmtId="164" outline="0" showAll="0"/>
  </pivotFields>
  <rowFields count="1">
    <field x="11"/>
  </rowFields>
  <rowItems count="7">
    <i>
      <x v="3"/>
    </i>
    <i>
      <x v="5"/>
    </i>
    <i>
      <x/>
    </i>
    <i>
      <x v="1"/>
    </i>
    <i>
      <x v="2"/>
    </i>
    <i>
      <x v="4"/>
    </i>
    <i t="grand">
      <x/>
    </i>
  </rowItems>
  <colItems count="1">
    <i/>
  </colItems>
  <dataFields count="1">
    <dataField name="Sum of Total Sales" fld="12"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6C2781-6F17-4714-AC61-907C867C62D4}" name="PivotTable8"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M3:P106" firstHeaderRow="0" firstDataRow="1" firstDataCol="2"/>
  <pivotFields count="15">
    <pivotField compact="0" numFmtId="14" outline="0" showAll="0" defaultSubtotal="0"/>
    <pivotField compact="0" outline="0" showAll="0" defaultSubtotal="0">
      <items count="4">
        <item x="0"/>
        <item x="1"/>
        <item x="2"/>
        <item x="3"/>
      </items>
    </pivotField>
    <pivotField axis="axisRow" compact="0" outline="0" showAll="0" defaultSubtota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s>
    </pivotField>
    <pivotField axis="axisRow" compact="0" outline="0" showAll="0" defaultSubtotal="0">
      <items count="14">
        <item x="0"/>
        <item x="4"/>
        <item x="13"/>
        <item x="12"/>
        <item x="7"/>
        <item x="8"/>
        <item x="11"/>
        <item x="6"/>
        <item x="1"/>
        <item x="9"/>
        <item x="10"/>
        <item x="2"/>
        <item x="5"/>
        <item x="3"/>
      </items>
    </pivotField>
    <pivotField compact="0" outline="0" showAll="0" defaultSubtotal="0">
      <items count="10">
        <item x="6"/>
        <item x="9"/>
        <item x="8"/>
        <item x="0"/>
        <item x="7"/>
        <item x="4"/>
        <item x="5"/>
        <item x="3"/>
        <item x="1"/>
        <item x="2"/>
      </items>
    </pivotField>
    <pivotField compact="0" outline="0" showAll="0" defaultSubtotal="0">
      <items count="5">
        <item x="4"/>
        <item x="2"/>
        <item x="0"/>
        <item x="3"/>
        <item x="1"/>
      </items>
    </pivotField>
    <pivotField compact="0" outline="0" showAll="0" defaultSubtotal="0"/>
    <pivotField compact="0" outline="0" showAll="0" defaultSubtotal="0">
      <items count="4">
        <item x="2"/>
        <item x="0"/>
        <item x="3"/>
        <item x="1"/>
      </items>
    </pivotField>
    <pivotField compact="0" outline="0" showAll="0" defaultSubtotal="0"/>
    <pivotField compact="0" numFmtId="164" outline="0" showAll="0" defaultSubtotal="0"/>
    <pivotField compact="0" numFmtId="9" outline="0" showAll="0" defaultSubtotal="0"/>
    <pivotField compact="0" outline="0" showAll="0" defaultSubtotal="0">
      <items count="6">
        <item x="2"/>
        <item x="5"/>
        <item x="0"/>
        <item x="4"/>
        <item x="1"/>
        <item x="3"/>
      </items>
    </pivotField>
    <pivotField dataField="1" compact="0" numFmtId="164" outline="0" showAll="0" defaultSubtotal="0"/>
    <pivotField compact="0" numFmtId="164" outline="0" showAll="0" defaultSubtotal="0"/>
    <pivotField dataField="1" compact="0" numFmtId="164" outline="0" showAll="0" defaultSubtotal="0"/>
  </pivotFields>
  <rowFields count="2">
    <field x="2"/>
    <field x="3"/>
  </rowFields>
  <rowItems count="103">
    <i>
      <x/>
      <x/>
    </i>
    <i>
      <x v="1"/>
      <x v="8"/>
    </i>
    <i>
      <x v="2"/>
      <x v="11"/>
    </i>
    <i>
      <x v="3"/>
      <x v="13"/>
    </i>
    <i>
      <x v="4"/>
      <x v="1"/>
    </i>
    <i>
      <x v="5"/>
      <x v="12"/>
    </i>
    <i>
      <x v="6"/>
      <x v="7"/>
    </i>
    <i>
      <x v="7"/>
      <x v="4"/>
    </i>
    <i>
      <x v="8"/>
      <x v="5"/>
    </i>
    <i>
      <x v="9"/>
      <x v="11"/>
    </i>
    <i>
      <x v="10"/>
      <x v="7"/>
    </i>
    <i>
      <x v="11"/>
      <x v="5"/>
    </i>
    <i>
      <x v="12"/>
      <x v="4"/>
    </i>
    <i>
      <x v="13"/>
      <x v="9"/>
    </i>
    <i>
      <x v="14"/>
      <x v="1"/>
    </i>
    <i>
      <x v="15"/>
      <x v="5"/>
    </i>
    <i>
      <x v="16"/>
      <x v="10"/>
    </i>
    <i>
      <x v="17"/>
      <x v="6"/>
    </i>
    <i>
      <x v="18"/>
      <x v="6"/>
    </i>
    <i>
      <x v="19"/>
      <x v="7"/>
    </i>
    <i>
      <x v="20"/>
      <x v="4"/>
    </i>
    <i>
      <x v="21"/>
      <x v="1"/>
    </i>
    <i>
      <x v="22"/>
      <x v="3"/>
    </i>
    <i>
      <x v="23"/>
      <x v="3"/>
    </i>
    <i>
      <x v="24"/>
      <x v="6"/>
    </i>
    <i>
      <x v="25"/>
      <x v="5"/>
    </i>
    <i>
      <x v="26"/>
      <x v="3"/>
    </i>
    <i>
      <x v="27"/>
      <x v="3"/>
    </i>
    <i>
      <x v="28"/>
      <x v="11"/>
    </i>
    <i>
      <x v="29"/>
      <x v="13"/>
    </i>
    <i>
      <x v="30"/>
      <x v="9"/>
    </i>
    <i>
      <x v="31"/>
      <x v="11"/>
    </i>
    <i>
      <x v="32"/>
      <x v="4"/>
    </i>
    <i>
      <x v="33"/>
      <x v="2"/>
    </i>
    <i>
      <x v="34"/>
      <x v="4"/>
    </i>
    <i>
      <x v="35"/>
      <x v="6"/>
    </i>
    <i>
      <x v="36"/>
      <x v="2"/>
    </i>
    <i>
      <x v="37"/>
      <x v="6"/>
    </i>
    <i>
      <x v="38"/>
      <x v="3"/>
    </i>
    <i>
      <x v="39"/>
      <x v="6"/>
    </i>
    <i>
      <x v="40"/>
      <x v="7"/>
    </i>
    <i>
      <x v="41"/>
      <x v="9"/>
    </i>
    <i>
      <x v="42"/>
      <x v="7"/>
    </i>
    <i>
      <x v="43"/>
      <x v="12"/>
    </i>
    <i>
      <x v="44"/>
      <x v="1"/>
    </i>
    <i>
      <x v="45"/>
      <x v="6"/>
    </i>
    <i>
      <x v="46"/>
      <x v="4"/>
    </i>
    <i>
      <x v="47"/>
      <x v="3"/>
    </i>
    <i>
      <x v="48"/>
      <x v="1"/>
    </i>
    <i>
      <x v="49"/>
      <x v="4"/>
    </i>
    <i>
      <x v="50"/>
      <x v="10"/>
    </i>
    <i>
      <x v="51"/>
      <x v="1"/>
    </i>
    <i>
      <x v="52"/>
      <x v="10"/>
    </i>
    <i>
      <x v="53"/>
      <x v="10"/>
    </i>
    <i>
      <x v="54"/>
      <x v="6"/>
    </i>
    <i>
      <x v="55"/>
      <x v="6"/>
    </i>
    <i>
      <x v="56"/>
      <x v="1"/>
    </i>
    <i>
      <x v="57"/>
      <x v="13"/>
    </i>
    <i>
      <x v="58"/>
      <x v="1"/>
    </i>
    <i>
      <x v="59"/>
      <x v="13"/>
    </i>
    <i>
      <x v="60"/>
      <x v="4"/>
    </i>
    <i>
      <x v="61"/>
      <x v="5"/>
    </i>
    <i>
      <x v="62"/>
      <x v="5"/>
    </i>
    <i>
      <x v="63"/>
      <x v="9"/>
    </i>
    <i>
      <x v="64"/>
      <x v="12"/>
    </i>
    <i>
      <x v="65"/>
      <x v="12"/>
    </i>
    <i>
      <x v="66"/>
      <x v="3"/>
    </i>
    <i>
      <x v="67"/>
      <x v="2"/>
    </i>
    <i>
      <x v="68"/>
      <x v="12"/>
    </i>
    <i>
      <x v="69"/>
      <x v="6"/>
    </i>
    <i>
      <x v="70"/>
      <x v="11"/>
    </i>
    <i>
      <x v="71"/>
      <x v="5"/>
    </i>
    <i>
      <x v="72"/>
      <x v="7"/>
    </i>
    <i>
      <x v="73"/>
      <x v="7"/>
    </i>
    <i>
      <x v="74"/>
      <x v="6"/>
    </i>
    <i>
      <x v="75"/>
      <x v="12"/>
    </i>
    <i>
      <x v="76"/>
      <x v="12"/>
    </i>
    <i>
      <x v="77"/>
      <x v="7"/>
    </i>
    <i>
      <x v="78"/>
      <x v="10"/>
    </i>
    <i>
      <x v="79"/>
      <x v="10"/>
    </i>
    <i>
      <x v="80"/>
      <x v="3"/>
    </i>
    <i>
      <x v="81"/>
      <x v="4"/>
    </i>
    <i>
      <x v="82"/>
      <x v="6"/>
    </i>
    <i>
      <x v="83"/>
      <x v="13"/>
    </i>
    <i>
      <x v="84"/>
      <x v="4"/>
    </i>
    <i>
      <x v="85"/>
      <x v="5"/>
    </i>
    <i>
      <x v="86"/>
      <x v="7"/>
    </i>
    <i>
      <x v="87"/>
      <x v="2"/>
    </i>
    <i>
      <x v="88"/>
      <x v="1"/>
    </i>
    <i>
      <x v="89"/>
      <x v="3"/>
    </i>
    <i>
      <x v="90"/>
      <x v="12"/>
    </i>
    <i>
      <x v="91"/>
      <x v="4"/>
    </i>
    <i>
      <x v="92"/>
      <x v="2"/>
    </i>
    <i>
      <x v="93"/>
      <x v="13"/>
    </i>
    <i>
      <x v="94"/>
      <x v="6"/>
    </i>
    <i>
      <x v="95"/>
      <x v="12"/>
    </i>
    <i>
      <x v="96"/>
      <x v="3"/>
    </i>
    <i>
      <x v="97"/>
      <x v="10"/>
    </i>
    <i>
      <x v="98"/>
      <x v="13"/>
    </i>
    <i>
      <x v="99"/>
      <x v="6"/>
    </i>
    <i>
      <x v="100"/>
      <x v="9"/>
    </i>
    <i>
      <x v="101"/>
      <x v="6"/>
    </i>
    <i t="grand">
      <x/>
    </i>
  </rowItems>
  <colFields count="1">
    <field x="-2"/>
  </colFields>
  <colItems count="2">
    <i>
      <x/>
    </i>
    <i i="1">
      <x v="1"/>
    </i>
  </colItems>
  <dataFields count="2">
    <dataField name="Sum of Total Sales" fld="12" baseField="0" baseItem="0" numFmtId="164"/>
    <dataField name="Sum of Profi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90F484-EBD9-46F5-BF44-38C7898D76F0}" sourceName="Month">
  <pivotTables>
    <pivotTable tabId="3" name="PivotTable8"/>
    <pivotTable tabId="3" name="Profit by Category"/>
    <pivotTable tabId="3" name="Sales by Category"/>
    <pivotTable tabId="3" name="Sales by Month"/>
    <pivotTable tabId="3" name="Sales by Product"/>
    <pivotTable tabId="3" name="Sales by Region"/>
    <pivotTable tabId="3" name="Sales by Salesperson"/>
    <pivotTable tabId="3" name="Sales by Top Customers"/>
  </pivotTables>
  <data>
    <tabular pivotCacheId="32067079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42EF22-1E07-4BD1-AD91-F9069B79DF15}" sourceName="Region">
  <pivotTables>
    <pivotTable tabId="3" name="PivotTable8"/>
    <pivotTable tabId="3" name="Profit by Category"/>
    <pivotTable tabId="3" name="Sales by Category"/>
    <pivotTable tabId="3" name="Sales by Month"/>
    <pivotTable tabId="3" name="Sales by Product"/>
    <pivotTable tabId="3" name="Sales by Region"/>
    <pivotTable tabId="3" name="Sales by Salesperson"/>
    <pivotTable tabId="3" name="Sales by Top Customers"/>
  </pivotTables>
  <data>
    <tabular pivotCacheId="320670795">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928F8F-39F4-4F67-96D8-A475F54A67A4}" sourceName="Category">
  <pivotTables>
    <pivotTable tabId="3" name="PivotTable8"/>
    <pivotTable tabId="3" name="Profit by Category"/>
    <pivotTable tabId="3" name="Sales by Category"/>
    <pivotTable tabId="3" name="Sales by Month"/>
    <pivotTable tabId="3" name="Sales by Product"/>
    <pivotTable tabId="3" name="Sales by Region"/>
    <pivotTable tabId="3" name="Sales by Salesperson"/>
    <pivotTable tabId="3" name="Sales by Top Customers"/>
  </pivotTables>
  <data>
    <tabular pivotCacheId="320670795">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9A90615-8286-4542-A188-55636B377DB9}" sourceName="Salesperson">
  <pivotTables>
    <pivotTable tabId="3" name="PivotTable8"/>
    <pivotTable tabId="3" name="Profit by Category"/>
    <pivotTable tabId="3" name="Sales by Category"/>
    <pivotTable tabId="3" name="Sales by Month"/>
    <pivotTable tabId="3" name="Sales by Product"/>
    <pivotTable tabId="3" name="Sales by Region"/>
    <pivotTable tabId="3" name="Sales by Salesperson"/>
    <pivotTable tabId="3" name="Sales by Top Customers"/>
  </pivotTables>
  <data>
    <tabular pivotCacheId="320670795">
      <items count="6">
        <i x="2" s="1"/>
        <i x="5"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DDDDDA1-8B18-4562-93CC-F2ED93081892}" cache="Slicer_Month" caption="Month" style="SlicerStyleLight5" rowHeight="247650"/>
  <slicer name="Region" xr10:uid="{38D6BE9D-8677-440E-A222-01231738A136}" cache="Slicer_Region" caption="Region" style="SlicerStyleLight5" rowHeight="247650"/>
  <slicer name="Category" xr10:uid="{F4FAEF90-18BB-48B5-83CE-1A5109AD6C68}" cache="Slicer_Category" caption="Category" style="SlicerStyleLight5" rowHeight="247650"/>
  <slicer name="Salesperson" xr10:uid="{979770AC-B70C-4322-AF90-E6C0F61DCDB1}" cache="Slicer_Salesperson" caption="Salesperson"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FA957-C95C-42D0-9C9C-DAFAC935F39A}" name="SalesData" displayName="SalesData" ref="A1:O103" totalsRowShown="0" headerRowDxfId="18">
  <autoFilter ref="A1:O103" xr:uid="{C25FA957-C95C-42D0-9C9C-DAFAC935F39A}"/>
  <tableColumns count="15">
    <tableColumn id="1" xr3:uid="{FACBDEC3-FEA2-46D7-94F9-46D1C87A1B7F}" name="Date" dataDxfId="17" totalsRowDxfId="16"/>
    <tableColumn id="15" xr3:uid="{98A33C53-1D14-4038-A361-594EA44CF2BF}" name="Month" dataDxfId="15" totalsRowDxfId="14">
      <calculatedColumnFormula>TEXT(SalesData[[#This Row],[Date]],"mmm")</calculatedColumnFormula>
    </tableColumn>
    <tableColumn id="2" xr3:uid="{59661AB3-7702-4459-A00A-8E90E2548926}" name="Order ID" dataDxfId="13" totalsRowDxfId="12"/>
    <tableColumn id="3" xr3:uid="{BB2CB3C6-5921-47CE-9222-5164B78E81A7}" name="Customer Name"/>
    <tableColumn id="4" xr3:uid="{7B1D4300-AAFE-46BB-A200-C376732F96B6}" name="City"/>
    <tableColumn id="5" xr3:uid="{988AC6CE-6594-495D-AFA5-6C853C571DA4}" name="Region"/>
    <tableColumn id="6" xr3:uid="{E2A38A4F-B7EA-4727-AD74-602CD014255B}" name="Product"/>
    <tableColumn id="7" xr3:uid="{2B9C0A5D-CA45-434C-A3E7-452FAB8A74D8}" name="Category"/>
    <tableColumn id="8" xr3:uid="{E423CDC6-D652-4A19-A240-C8005FB924DA}" name="Quantity" totalsRowDxfId="11"/>
    <tableColumn id="9" xr3:uid="{80E2AF05-7F23-4C35-BF65-33E0518D4C49}" name="Unit Price" dataDxfId="10" totalsRowDxfId="9"/>
    <tableColumn id="10" xr3:uid="{A857F410-7CC3-48F8-88C6-20B4E63D2F9C}" name="Discount (%)" dataDxfId="8" totalsRowDxfId="7"/>
    <tableColumn id="11" xr3:uid="{1854DE94-D377-43F9-B29E-632E0785DBB7}" name="Salesperson" totalsRowDxfId="6"/>
    <tableColumn id="12" xr3:uid="{49901F3A-89B4-46ED-AD68-C455540EB0DA}" name="Total Sales" dataDxfId="5" totalsRowDxfId="4">
      <calculatedColumnFormula>I2*J2*(1-K2)</calculatedColumnFormula>
    </tableColumn>
    <tableColumn id="13" xr3:uid="{01053AB3-4011-4D40-8C02-2D08E36424D5}" name="Cost (assume 70% of Sales)" dataDxfId="3" totalsRowDxfId="2">
      <calculatedColumnFormula>M2*70%</calculatedColumnFormula>
    </tableColumn>
    <tableColumn id="14" xr3:uid="{CBE6F083-8520-4F08-88C4-43294FCEC6B3}" name="Profit" dataDxfId="1" totalsRowDxfId="0">
      <calculatedColumnFormula>M2-N2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2" dT="2026-08-07T17:53:46.41" personId="{0AEA2F92-F51B-4279-8FE5-626396D7BA84}" id="{D1EE9A53-27FA-4C81-9BD4-D64B7F10E63B}">
    <text>Quantity*unit Price*(1-discount%) , applying discount</text>
  </threadedComment>
  <threadedComment ref="O2" dT="2026-08-07T17:55:32.18" personId="{0AEA2F92-F51B-4279-8FE5-626396D7BA84}" id="{D4E5961E-8BE4-495E-8E1A-6483819EE89D}">
    <text xml:space="preserve">Sales-Cost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F64F8-E054-4E54-8107-DF3B40B365FC}">
  <dimension ref="A1:O103"/>
  <sheetViews>
    <sheetView zoomScale="70" zoomScaleNormal="70" workbookViewId="0">
      <selection activeCell="A104" sqref="A104:XFD104"/>
    </sheetView>
  </sheetViews>
  <sheetFormatPr defaultRowHeight="14.4" x14ac:dyDescent="0.3"/>
  <cols>
    <col min="1" max="1" width="11.33203125" style="9" bestFit="1" customWidth="1"/>
    <col min="2" max="2" width="13" bestFit="1" customWidth="1"/>
    <col min="3" max="3" width="14.5546875" bestFit="1" customWidth="1"/>
    <col min="4" max="4" width="21.21875" bestFit="1" customWidth="1"/>
    <col min="5" max="5" width="10.77734375" bestFit="1" customWidth="1"/>
    <col min="6" max="6" width="13.33203125" bestFit="1" customWidth="1"/>
    <col min="7" max="7" width="14.109375" bestFit="1" customWidth="1"/>
    <col min="8" max="8" width="15" bestFit="1" customWidth="1"/>
    <col min="9" max="9" width="14.6640625" style="14" bestFit="1" customWidth="1"/>
    <col min="10" max="10" width="15.5546875" style="11" bestFit="1" customWidth="1"/>
    <col min="11" max="11" width="18.21875" bestFit="1" customWidth="1"/>
    <col min="12" max="12" width="18.21875" style="14" bestFit="1" customWidth="1"/>
    <col min="13" max="13" width="16.77734375" style="14" bestFit="1" customWidth="1"/>
    <col min="14" max="14" width="23.33203125" style="14" bestFit="1" customWidth="1"/>
    <col min="15" max="15" width="12.77734375" customWidth="1"/>
  </cols>
  <sheetData>
    <row r="1" spans="1:15" s="5" customFormat="1" ht="55.8" customHeight="1" x14ac:dyDescent="0.3">
      <c r="A1" s="3" t="s">
        <v>0</v>
      </c>
      <c r="B1" s="3" t="s">
        <v>169</v>
      </c>
      <c r="C1" s="4" t="s">
        <v>8</v>
      </c>
      <c r="D1" s="4" t="s">
        <v>26</v>
      </c>
      <c r="E1" s="4" t="s">
        <v>9</v>
      </c>
      <c r="F1" s="5" t="s">
        <v>1</v>
      </c>
      <c r="G1" s="4" t="s">
        <v>10</v>
      </c>
      <c r="H1" s="4" t="s">
        <v>2</v>
      </c>
      <c r="I1" s="4" t="s">
        <v>11</v>
      </c>
      <c r="J1" s="12" t="s">
        <v>3</v>
      </c>
      <c r="K1" s="10" t="s">
        <v>4</v>
      </c>
      <c r="L1" s="4" t="s">
        <v>5</v>
      </c>
      <c r="M1" s="12" t="s">
        <v>6</v>
      </c>
      <c r="N1" s="12" t="s">
        <v>27</v>
      </c>
      <c r="O1" s="12" t="s">
        <v>7</v>
      </c>
    </row>
    <row r="2" spans="1:15" x14ac:dyDescent="0.3">
      <c r="A2" s="8">
        <v>46023</v>
      </c>
      <c r="B2" s="8" t="str">
        <f>TEXT(SalesData[[#This Row],[Date]],"mmm")</f>
        <v>Jan</v>
      </c>
      <c r="C2" s="1" t="s">
        <v>12</v>
      </c>
      <c r="D2" s="1" t="s">
        <v>13</v>
      </c>
      <c r="E2" s="1" t="s">
        <v>14</v>
      </c>
      <c r="F2" s="1" t="s">
        <v>15</v>
      </c>
      <c r="G2" s="1" t="s">
        <v>16</v>
      </c>
      <c r="H2" s="2" t="s">
        <v>17</v>
      </c>
      <c r="I2" s="1">
        <v>2</v>
      </c>
      <c r="J2" s="13">
        <v>55000</v>
      </c>
      <c r="K2" s="7">
        <v>0.1</v>
      </c>
      <c r="L2" s="1" t="s">
        <v>18</v>
      </c>
      <c r="M2" s="14">
        <f>I2*J2*(1-K2)</f>
        <v>99000</v>
      </c>
      <c r="N2" s="14">
        <f>M2*70%</f>
        <v>69300</v>
      </c>
      <c r="O2" s="14">
        <f>M2-N2</f>
        <v>29700</v>
      </c>
    </row>
    <row r="3" spans="1:15" x14ac:dyDescent="0.3">
      <c r="A3" s="8">
        <v>46024</v>
      </c>
      <c r="B3" s="8" t="str">
        <f>TEXT(SalesData[[#This Row],[Date]],"mmm")</f>
        <v>Jan</v>
      </c>
      <c r="C3" s="1" t="s">
        <v>19</v>
      </c>
      <c r="D3" s="1" t="s">
        <v>20</v>
      </c>
      <c r="E3" s="1" t="s">
        <v>21</v>
      </c>
      <c r="F3" s="1" t="s">
        <v>22</v>
      </c>
      <c r="G3" s="1" t="s">
        <v>23</v>
      </c>
      <c r="H3" s="1" t="s">
        <v>24</v>
      </c>
      <c r="I3" s="1">
        <v>1</v>
      </c>
      <c r="J3" s="13">
        <v>12000</v>
      </c>
      <c r="K3" s="7">
        <v>0.05</v>
      </c>
      <c r="L3" s="1" t="s">
        <v>25</v>
      </c>
      <c r="M3" s="14">
        <f>I3*J3*(1-K3)</f>
        <v>11400</v>
      </c>
      <c r="N3" s="14">
        <f>M3*70%</f>
        <v>7979.9999999999991</v>
      </c>
      <c r="O3" s="14">
        <f>M3-N3</f>
        <v>3420.0000000000009</v>
      </c>
    </row>
    <row r="4" spans="1:15" x14ac:dyDescent="0.3">
      <c r="A4" s="8">
        <v>46025</v>
      </c>
      <c r="B4" s="8" t="str">
        <f>TEXT(SalesData[[#This Row],[Date]],"mmm")</f>
        <v>Jan</v>
      </c>
      <c r="C4" s="1" t="s">
        <v>28</v>
      </c>
      <c r="D4" t="s">
        <v>59</v>
      </c>
      <c r="E4" t="s">
        <v>60</v>
      </c>
      <c r="F4" t="s">
        <v>22</v>
      </c>
      <c r="G4" t="s">
        <v>61</v>
      </c>
      <c r="H4" t="s">
        <v>62</v>
      </c>
      <c r="I4">
        <v>4</v>
      </c>
      <c r="J4" s="14">
        <v>2446</v>
      </c>
      <c r="K4" s="6">
        <v>0.05</v>
      </c>
      <c r="L4" t="s">
        <v>63</v>
      </c>
      <c r="M4" s="14">
        <f t="shared" ref="M4:M67" si="0">I4*J4*(1-K4)</f>
        <v>9294.7999999999993</v>
      </c>
      <c r="N4" s="14">
        <f t="shared" ref="N4:N67" si="1">M4*70%</f>
        <v>6506.3599999999988</v>
      </c>
      <c r="O4" s="14">
        <f t="shared" ref="O4:O67" si="2">M4-N4</f>
        <v>2788.4400000000005</v>
      </c>
    </row>
    <row r="5" spans="1:15" x14ac:dyDescent="0.3">
      <c r="A5" s="8">
        <v>46026</v>
      </c>
      <c r="B5" s="8" t="str">
        <f>TEXT(SalesData[[#This Row],[Date]],"mmm")</f>
        <v>Jan</v>
      </c>
      <c r="C5" s="1" t="s">
        <v>29</v>
      </c>
      <c r="D5" t="s">
        <v>64</v>
      </c>
      <c r="E5" t="s">
        <v>65</v>
      </c>
      <c r="F5" t="s">
        <v>15</v>
      </c>
      <c r="G5" t="s">
        <v>66</v>
      </c>
      <c r="H5" t="s">
        <v>62</v>
      </c>
      <c r="I5">
        <v>9</v>
      </c>
      <c r="J5" s="14">
        <v>773</v>
      </c>
      <c r="K5" s="6">
        <v>0.15</v>
      </c>
      <c r="L5" t="s">
        <v>67</v>
      </c>
      <c r="M5" s="14">
        <f t="shared" si="0"/>
        <v>5913.45</v>
      </c>
      <c r="N5" s="14">
        <f t="shared" si="1"/>
        <v>4139.415</v>
      </c>
      <c r="O5" s="14">
        <f t="shared" si="2"/>
        <v>1774.0349999999999</v>
      </c>
    </row>
    <row r="6" spans="1:15" x14ac:dyDescent="0.3">
      <c r="A6" s="8">
        <v>46027</v>
      </c>
      <c r="B6" s="8" t="str">
        <f>TEXT(SalesData[[#This Row],[Date]],"mmm")</f>
        <v>Jan</v>
      </c>
      <c r="C6" s="1" t="s">
        <v>30</v>
      </c>
      <c r="D6" t="s">
        <v>68</v>
      </c>
      <c r="E6" t="s">
        <v>58</v>
      </c>
      <c r="F6" t="s">
        <v>15</v>
      </c>
      <c r="G6" t="s">
        <v>69</v>
      </c>
      <c r="H6" t="s">
        <v>70</v>
      </c>
      <c r="I6">
        <v>2</v>
      </c>
      <c r="J6" s="14">
        <v>14141</v>
      </c>
      <c r="K6" s="6">
        <v>0.12</v>
      </c>
      <c r="L6" t="s">
        <v>63</v>
      </c>
      <c r="M6" s="14">
        <f t="shared" si="0"/>
        <v>24888.16</v>
      </c>
      <c r="N6" s="14">
        <f t="shared" si="1"/>
        <v>17421.712</v>
      </c>
      <c r="O6" s="14">
        <f t="shared" si="2"/>
        <v>7466.4480000000003</v>
      </c>
    </row>
    <row r="7" spans="1:15" x14ac:dyDescent="0.3">
      <c r="A7" s="8">
        <v>46028</v>
      </c>
      <c r="B7" s="8" t="str">
        <f>TEXT(SalesData[[#This Row],[Date]],"mmm")</f>
        <v>Jan</v>
      </c>
      <c r="C7" s="1" t="s">
        <v>31</v>
      </c>
      <c r="D7" t="s">
        <v>71</v>
      </c>
      <c r="E7" t="s">
        <v>65</v>
      </c>
      <c r="F7" t="s">
        <v>15</v>
      </c>
      <c r="G7" t="s">
        <v>72</v>
      </c>
      <c r="H7" t="s">
        <v>70</v>
      </c>
      <c r="I7">
        <v>5</v>
      </c>
      <c r="J7" s="14">
        <v>8972</v>
      </c>
      <c r="K7" s="6">
        <v>0.12</v>
      </c>
      <c r="L7" t="s">
        <v>73</v>
      </c>
      <c r="M7" s="14">
        <f t="shared" si="0"/>
        <v>39476.800000000003</v>
      </c>
      <c r="N7" s="14">
        <f t="shared" si="1"/>
        <v>27633.760000000002</v>
      </c>
      <c r="O7" s="14">
        <f t="shared" si="2"/>
        <v>11843.04</v>
      </c>
    </row>
    <row r="8" spans="1:15" x14ac:dyDescent="0.3">
      <c r="A8" s="8">
        <v>46029</v>
      </c>
      <c r="B8" s="8" t="str">
        <f>TEXT(SalesData[[#This Row],[Date]],"mmm")</f>
        <v>Jan</v>
      </c>
      <c r="C8" s="1" t="s">
        <v>32</v>
      </c>
      <c r="D8" t="s">
        <v>74</v>
      </c>
      <c r="E8" t="s">
        <v>60</v>
      </c>
      <c r="F8" t="s">
        <v>22</v>
      </c>
      <c r="G8" t="s">
        <v>61</v>
      </c>
      <c r="H8" t="s">
        <v>62</v>
      </c>
      <c r="I8">
        <v>3</v>
      </c>
      <c r="J8" s="14">
        <v>2166</v>
      </c>
      <c r="K8" s="6">
        <v>0.08</v>
      </c>
      <c r="L8" t="s">
        <v>63</v>
      </c>
      <c r="M8" s="14">
        <f t="shared" si="0"/>
        <v>5978.16</v>
      </c>
      <c r="N8" s="14">
        <f t="shared" si="1"/>
        <v>4184.7119999999995</v>
      </c>
      <c r="O8" s="14">
        <f t="shared" si="2"/>
        <v>1793.4480000000003</v>
      </c>
    </row>
    <row r="9" spans="1:15" x14ac:dyDescent="0.3">
      <c r="A9" s="8">
        <v>46030</v>
      </c>
      <c r="B9" s="8" t="str">
        <f>TEXT(SalesData[[#This Row],[Date]],"mmm")</f>
        <v>Jan</v>
      </c>
      <c r="C9" s="1" t="s">
        <v>33</v>
      </c>
      <c r="D9" t="s">
        <v>75</v>
      </c>
      <c r="E9" t="s">
        <v>58</v>
      </c>
      <c r="F9" t="s">
        <v>15</v>
      </c>
      <c r="G9" t="s">
        <v>76</v>
      </c>
      <c r="H9" t="s">
        <v>62</v>
      </c>
      <c r="I9">
        <v>10</v>
      </c>
      <c r="J9" s="14">
        <v>614</v>
      </c>
      <c r="K9" s="6">
        <v>0.12</v>
      </c>
      <c r="L9" t="s">
        <v>77</v>
      </c>
      <c r="M9" s="14">
        <f t="shared" si="0"/>
        <v>5403.2</v>
      </c>
      <c r="N9" s="14">
        <f t="shared" si="1"/>
        <v>3782.24</v>
      </c>
      <c r="O9" s="14">
        <f t="shared" si="2"/>
        <v>1620.96</v>
      </c>
    </row>
    <row r="10" spans="1:15" x14ac:dyDescent="0.3">
      <c r="A10" s="8">
        <v>46031</v>
      </c>
      <c r="B10" s="8" t="str">
        <f>TEXT(SalesData[[#This Row],[Date]],"mmm")</f>
        <v>Jan</v>
      </c>
      <c r="C10" s="1" t="s">
        <v>34</v>
      </c>
      <c r="D10" t="s">
        <v>78</v>
      </c>
      <c r="E10" t="s">
        <v>14</v>
      </c>
      <c r="F10" t="s">
        <v>15</v>
      </c>
      <c r="G10" t="s">
        <v>66</v>
      </c>
      <c r="H10" t="s">
        <v>62</v>
      </c>
      <c r="I10">
        <v>7</v>
      </c>
      <c r="J10" s="14">
        <v>1068</v>
      </c>
      <c r="K10" s="6">
        <v>0.15</v>
      </c>
      <c r="L10" t="s">
        <v>77</v>
      </c>
      <c r="M10" s="14">
        <f t="shared" si="0"/>
        <v>6354.5999999999995</v>
      </c>
      <c r="N10" s="14">
        <f t="shared" si="1"/>
        <v>4448.2199999999993</v>
      </c>
      <c r="O10" s="14">
        <f t="shared" si="2"/>
        <v>1906.38</v>
      </c>
    </row>
    <row r="11" spans="1:15" x14ac:dyDescent="0.3">
      <c r="A11" s="8">
        <v>46032</v>
      </c>
      <c r="B11" s="8" t="str">
        <f>TEXT(SalesData[[#This Row],[Date]],"mmm")</f>
        <v>Jan</v>
      </c>
      <c r="C11" s="1" t="s">
        <v>35</v>
      </c>
      <c r="D11" t="s">
        <v>59</v>
      </c>
      <c r="E11" t="s">
        <v>79</v>
      </c>
      <c r="F11" t="s">
        <v>56</v>
      </c>
      <c r="G11" t="s">
        <v>66</v>
      </c>
      <c r="H11" t="s">
        <v>62</v>
      </c>
      <c r="I11">
        <v>2</v>
      </c>
      <c r="J11" s="14">
        <v>1326</v>
      </c>
      <c r="K11" s="6">
        <v>0.15</v>
      </c>
      <c r="L11" t="s">
        <v>77</v>
      </c>
      <c r="M11" s="14">
        <f t="shared" si="0"/>
        <v>2254.1999999999998</v>
      </c>
      <c r="N11" s="14">
        <f t="shared" si="1"/>
        <v>1577.9399999999998</v>
      </c>
      <c r="O11" s="14">
        <f t="shared" si="2"/>
        <v>676.26</v>
      </c>
    </row>
    <row r="12" spans="1:15" x14ac:dyDescent="0.3">
      <c r="A12" s="8">
        <v>46033</v>
      </c>
      <c r="B12" s="8" t="str">
        <f>TEXT(SalesData[[#This Row],[Date]],"mmm")</f>
        <v>Jan</v>
      </c>
      <c r="C12" s="1" t="s">
        <v>36</v>
      </c>
      <c r="D12" t="s">
        <v>74</v>
      </c>
      <c r="E12" t="s">
        <v>65</v>
      </c>
      <c r="F12" t="s">
        <v>15</v>
      </c>
      <c r="G12" t="s">
        <v>76</v>
      </c>
      <c r="H12" t="s">
        <v>62</v>
      </c>
      <c r="I12">
        <v>6</v>
      </c>
      <c r="J12" s="14">
        <v>1287</v>
      </c>
      <c r="K12" s="6">
        <v>0.12</v>
      </c>
      <c r="L12" t="s">
        <v>63</v>
      </c>
      <c r="M12" s="14">
        <f t="shared" si="0"/>
        <v>6795.36</v>
      </c>
      <c r="N12" s="14">
        <f t="shared" si="1"/>
        <v>4756.7519999999995</v>
      </c>
      <c r="O12" s="14">
        <f t="shared" si="2"/>
        <v>2038.6080000000002</v>
      </c>
    </row>
    <row r="13" spans="1:15" x14ac:dyDescent="0.3">
      <c r="A13" s="8">
        <v>46034</v>
      </c>
      <c r="B13" s="8" t="str">
        <f>TEXT(SalesData[[#This Row],[Date]],"mmm")</f>
        <v>Jan</v>
      </c>
      <c r="C13" s="1" t="s">
        <v>37</v>
      </c>
      <c r="D13" t="s">
        <v>78</v>
      </c>
      <c r="E13" t="s">
        <v>65</v>
      </c>
      <c r="F13" t="s">
        <v>15</v>
      </c>
      <c r="G13" t="s">
        <v>16</v>
      </c>
      <c r="H13" t="s">
        <v>17</v>
      </c>
      <c r="I13">
        <v>10</v>
      </c>
      <c r="J13" s="14">
        <v>54686</v>
      </c>
      <c r="K13" s="6">
        <v>0.12</v>
      </c>
      <c r="L13" t="s">
        <v>67</v>
      </c>
      <c r="M13" s="14">
        <f t="shared" si="0"/>
        <v>481236.8</v>
      </c>
      <c r="N13" s="14">
        <f t="shared" si="1"/>
        <v>336865.75999999995</v>
      </c>
      <c r="O13" s="14">
        <f t="shared" si="2"/>
        <v>144371.04000000004</v>
      </c>
    </row>
    <row r="14" spans="1:15" x14ac:dyDescent="0.3">
      <c r="A14" s="8">
        <v>46035</v>
      </c>
      <c r="B14" s="8" t="str">
        <f>TEXT(SalesData[[#This Row],[Date]],"mmm")</f>
        <v>Jan</v>
      </c>
      <c r="C14" s="1" t="s">
        <v>38</v>
      </c>
      <c r="D14" t="s">
        <v>75</v>
      </c>
      <c r="E14" t="s">
        <v>80</v>
      </c>
      <c r="F14" t="s">
        <v>57</v>
      </c>
      <c r="G14" t="s">
        <v>72</v>
      </c>
      <c r="H14" t="s">
        <v>70</v>
      </c>
      <c r="I14">
        <v>5</v>
      </c>
      <c r="J14" s="14">
        <v>8058</v>
      </c>
      <c r="K14" s="6">
        <v>0</v>
      </c>
      <c r="L14" t="s">
        <v>77</v>
      </c>
      <c r="M14" s="14">
        <f t="shared" si="0"/>
        <v>40290</v>
      </c>
      <c r="N14" s="14">
        <f t="shared" si="1"/>
        <v>28203</v>
      </c>
      <c r="O14" s="14">
        <f t="shared" si="2"/>
        <v>12087</v>
      </c>
    </row>
    <row r="15" spans="1:15" x14ac:dyDescent="0.3">
      <c r="A15" s="8">
        <v>46036</v>
      </c>
      <c r="B15" s="8" t="str">
        <f>TEXT(SalesData[[#This Row],[Date]],"mmm")</f>
        <v>Jan</v>
      </c>
      <c r="C15" s="1" t="s">
        <v>39</v>
      </c>
      <c r="D15" t="s">
        <v>81</v>
      </c>
      <c r="E15" t="s">
        <v>14</v>
      </c>
      <c r="F15" t="s">
        <v>15</v>
      </c>
      <c r="G15" t="s">
        <v>82</v>
      </c>
      <c r="H15" t="s">
        <v>17</v>
      </c>
      <c r="I15">
        <v>6</v>
      </c>
      <c r="J15" s="14">
        <v>14690</v>
      </c>
      <c r="K15" s="6">
        <v>0.05</v>
      </c>
      <c r="L15" t="s">
        <v>77</v>
      </c>
      <c r="M15" s="14">
        <f t="shared" si="0"/>
        <v>83733</v>
      </c>
      <c r="N15" s="14">
        <f t="shared" si="1"/>
        <v>58613.1</v>
      </c>
      <c r="O15" s="14">
        <f t="shared" si="2"/>
        <v>25119.9</v>
      </c>
    </row>
    <row r="16" spans="1:15" x14ac:dyDescent="0.3">
      <c r="A16" s="8">
        <v>46037</v>
      </c>
      <c r="B16" s="8" t="str">
        <f>TEXT(SalesData[[#This Row],[Date]],"mmm")</f>
        <v>Jan</v>
      </c>
      <c r="C16" s="1" t="s">
        <v>40</v>
      </c>
      <c r="D16" t="s">
        <v>68</v>
      </c>
      <c r="E16" t="s">
        <v>14</v>
      </c>
      <c r="F16" t="s">
        <v>15</v>
      </c>
      <c r="G16" t="s">
        <v>76</v>
      </c>
      <c r="H16" t="s">
        <v>62</v>
      </c>
      <c r="I16">
        <v>1</v>
      </c>
      <c r="J16" s="14">
        <v>732</v>
      </c>
      <c r="K16" s="6">
        <v>0.15</v>
      </c>
      <c r="L16" t="s">
        <v>63</v>
      </c>
      <c r="M16" s="14">
        <f t="shared" si="0"/>
        <v>622.19999999999993</v>
      </c>
      <c r="N16" s="14">
        <f t="shared" si="1"/>
        <v>435.53999999999991</v>
      </c>
      <c r="O16" s="14">
        <f t="shared" si="2"/>
        <v>186.66000000000003</v>
      </c>
    </row>
    <row r="17" spans="1:15" x14ac:dyDescent="0.3">
      <c r="A17" s="8">
        <v>46038</v>
      </c>
      <c r="B17" s="8" t="str">
        <f>TEXT(SalesData[[#This Row],[Date]],"mmm")</f>
        <v>Jan</v>
      </c>
      <c r="C17" s="1" t="s">
        <v>41</v>
      </c>
      <c r="D17" t="s">
        <v>78</v>
      </c>
      <c r="E17" t="s">
        <v>79</v>
      </c>
      <c r="F17" t="s">
        <v>56</v>
      </c>
      <c r="G17" t="s">
        <v>76</v>
      </c>
      <c r="H17" t="s">
        <v>62</v>
      </c>
      <c r="I17">
        <v>5</v>
      </c>
      <c r="J17" s="14">
        <v>1124</v>
      </c>
      <c r="K17" s="6">
        <v>0.12</v>
      </c>
      <c r="L17" t="s">
        <v>63</v>
      </c>
      <c r="M17" s="14">
        <f t="shared" si="0"/>
        <v>4945.6000000000004</v>
      </c>
      <c r="N17" s="14">
        <f t="shared" si="1"/>
        <v>3461.92</v>
      </c>
      <c r="O17" s="14">
        <f t="shared" si="2"/>
        <v>1483.6800000000003</v>
      </c>
    </row>
    <row r="18" spans="1:15" x14ac:dyDescent="0.3">
      <c r="A18" s="8">
        <v>46039</v>
      </c>
      <c r="B18" s="8" t="str">
        <f>TEXT(SalesData[[#This Row],[Date]],"mmm")</f>
        <v>Jan</v>
      </c>
      <c r="C18" s="1" t="s">
        <v>42</v>
      </c>
      <c r="D18" t="s">
        <v>83</v>
      </c>
      <c r="E18" t="s">
        <v>80</v>
      </c>
      <c r="F18" t="s">
        <v>57</v>
      </c>
      <c r="G18" t="s">
        <v>61</v>
      </c>
      <c r="H18" t="s">
        <v>62</v>
      </c>
      <c r="I18">
        <v>7</v>
      </c>
      <c r="J18" s="14">
        <v>2799</v>
      </c>
      <c r="K18" s="6">
        <v>0.05</v>
      </c>
      <c r="L18" t="s">
        <v>67</v>
      </c>
      <c r="M18" s="14">
        <f t="shared" si="0"/>
        <v>18613.349999999999</v>
      </c>
      <c r="N18" s="14">
        <f t="shared" si="1"/>
        <v>13029.344999999998</v>
      </c>
      <c r="O18" s="14">
        <f t="shared" si="2"/>
        <v>5584.005000000001</v>
      </c>
    </row>
    <row r="19" spans="1:15" x14ac:dyDescent="0.3">
      <c r="A19" s="8">
        <v>46040</v>
      </c>
      <c r="B19" s="8" t="str">
        <f>TEXT(SalesData[[#This Row],[Date]],"mmm")</f>
        <v>Jan</v>
      </c>
      <c r="C19" s="1" t="s">
        <v>43</v>
      </c>
      <c r="D19" t="s">
        <v>84</v>
      </c>
      <c r="E19" t="s">
        <v>80</v>
      </c>
      <c r="F19" t="s">
        <v>57</v>
      </c>
      <c r="G19" t="s">
        <v>69</v>
      </c>
      <c r="H19" t="s">
        <v>70</v>
      </c>
      <c r="I19">
        <v>6</v>
      </c>
      <c r="J19" s="14">
        <v>14363</v>
      </c>
      <c r="K19" s="6">
        <v>0.1</v>
      </c>
      <c r="L19" t="s">
        <v>63</v>
      </c>
      <c r="M19" s="14">
        <f t="shared" si="0"/>
        <v>77560.2</v>
      </c>
      <c r="N19" s="14">
        <f t="shared" si="1"/>
        <v>54292.139999999992</v>
      </c>
      <c r="O19" s="14">
        <f t="shared" si="2"/>
        <v>23268.060000000005</v>
      </c>
    </row>
    <row r="20" spans="1:15" x14ac:dyDescent="0.3">
      <c r="A20" s="8">
        <v>46041</v>
      </c>
      <c r="B20" s="8" t="str">
        <f>TEXT(SalesData[[#This Row],[Date]],"mmm")</f>
        <v>Jan</v>
      </c>
      <c r="C20" s="1" t="s">
        <v>44</v>
      </c>
      <c r="D20" t="s">
        <v>84</v>
      </c>
      <c r="E20" t="s">
        <v>65</v>
      </c>
      <c r="F20" t="s">
        <v>15</v>
      </c>
      <c r="G20" t="s">
        <v>82</v>
      </c>
      <c r="H20" t="s">
        <v>17</v>
      </c>
      <c r="I20">
        <v>7</v>
      </c>
      <c r="J20" s="14">
        <v>15348</v>
      </c>
      <c r="K20" s="6">
        <v>0.15</v>
      </c>
      <c r="L20" t="s">
        <v>63</v>
      </c>
      <c r="M20" s="14">
        <f t="shared" si="0"/>
        <v>91320.599999999991</v>
      </c>
      <c r="N20" s="14">
        <f t="shared" si="1"/>
        <v>63924.419999999991</v>
      </c>
      <c r="O20" s="14">
        <f t="shared" si="2"/>
        <v>27396.18</v>
      </c>
    </row>
    <row r="21" spans="1:15" x14ac:dyDescent="0.3">
      <c r="A21" s="8">
        <v>46042</v>
      </c>
      <c r="B21" s="8" t="str">
        <f>TEXT(SalesData[[#This Row],[Date]],"mmm")</f>
        <v>Jan</v>
      </c>
      <c r="C21" s="1" t="s">
        <v>45</v>
      </c>
      <c r="D21" t="s">
        <v>74</v>
      </c>
      <c r="E21" t="s">
        <v>80</v>
      </c>
      <c r="F21" t="s">
        <v>57</v>
      </c>
      <c r="G21" t="s">
        <v>72</v>
      </c>
      <c r="H21" t="s">
        <v>70</v>
      </c>
      <c r="I21">
        <v>3</v>
      </c>
      <c r="J21" s="14">
        <v>8847</v>
      </c>
      <c r="K21" s="6">
        <v>0.08</v>
      </c>
      <c r="L21" t="s">
        <v>73</v>
      </c>
      <c r="M21" s="14">
        <f t="shared" si="0"/>
        <v>24417.72</v>
      </c>
      <c r="N21" s="14">
        <f t="shared" si="1"/>
        <v>17092.403999999999</v>
      </c>
      <c r="O21" s="14">
        <f t="shared" si="2"/>
        <v>7325.3160000000025</v>
      </c>
    </row>
    <row r="22" spans="1:15" x14ac:dyDescent="0.3">
      <c r="A22" s="8">
        <v>46043</v>
      </c>
      <c r="B22" s="8" t="str">
        <f>TEXT(SalesData[[#This Row],[Date]],"mmm")</f>
        <v>Jan</v>
      </c>
      <c r="C22" s="1" t="s">
        <v>46</v>
      </c>
      <c r="D22" t="s">
        <v>75</v>
      </c>
      <c r="E22" t="s">
        <v>79</v>
      </c>
      <c r="F22" t="s">
        <v>56</v>
      </c>
      <c r="G22" t="s">
        <v>16</v>
      </c>
      <c r="H22" t="s">
        <v>17</v>
      </c>
      <c r="I22">
        <v>3</v>
      </c>
      <c r="J22" s="14">
        <v>54699</v>
      </c>
      <c r="K22" s="6">
        <v>0.12</v>
      </c>
      <c r="L22" t="s">
        <v>67</v>
      </c>
      <c r="M22" s="14">
        <f t="shared" si="0"/>
        <v>144405.36000000002</v>
      </c>
      <c r="N22" s="14">
        <f t="shared" si="1"/>
        <v>101083.75200000001</v>
      </c>
      <c r="O22" s="14">
        <f t="shared" si="2"/>
        <v>43321.608000000007</v>
      </c>
    </row>
    <row r="23" spans="1:15" x14ac:dyDescent="0.3">
      <c r="A23" s="8">
        <v>46044</v>
      </c>
      <c r="B23" s="8" t="str">
        <f>TEXT(SalesData[[#This Row],[Date]],"mmm")</f>
        <v>Jan</v>
      </c>
      <c r="C23" s="1" t="s">
        <v>47</v>
      </c>
      <c r="D23" t="s">
        <v>68</v>
      </c>
      <c r="E23" t="s">
        <v>80</v>
      </c>
      <c r="F23" t="s">
        <v>57</v>
      </c>
      <c r="G23" t="s">
        <v>76</v>
      </c>
      <c r="H23" t="s">
        <v>62</v>
      </c>
      <c r="I23">
        <v>3</v>
      </c>
      <c r="J23" s="14">
        <v>964</v>
      </c>
      <c r="K23" s="6">
        <v>0.15</v>
      </c>
      <c r="L23" t="s">
        <v>77</v>
      </c>
      <c r="M23" s="14">
        <f t="shared" si="0"/>
        <v>2458.1999999999998</v>
      </c>
      <c r="N23" s="14">
        <f t="shared" si="1"/>
        <v>1720.7399999999998</v>
      </c>
      <c r="O23" s="14">
        <f t="shared" si="2"/>
        <v>737.46</v>
      </c>
    </row>
    <row r="24" spans="1:15" x14ac:dyDescent="0.3">
      <c r="A24" s="8">
        <v>46045</v>
      </c>
      <c r="B24" s="8" t="str">
        <f>TEXT(SalesData[[#This Row],[Date]],"mmm")</f>
        <v>Jan</v>
      </c>
      <c r="C24" s="1" t="s">
        <v>48</v>
      </c>
      <c r="D24" t="s">
        <v>85</v>
      </c>
      <c r="E24" t="s">
        <v>86</v>
      </c>
      <c r="F24" t="s">
        <v>57</v>
      </c>
      <c r="G24" t="s">
        <v>76</v>
      </c>
      <c r="H24" t="s">
        <v>62</v>
      </c>
      <c r="I24">
        <v>10</v>
      </c>
      <c r="J24" s="14">
        <v>949</v>
      </c>
      <c r="K24" s="6">
        <v>0</v>
      </c>
      <c r="L24" t="s">
        <v>67</v>
      </c>
      <c r="M24" s="14">
        <f t="shared" si="0"/>
        <v>9490</v>
      </c>
      <c r="N24" s="14">
        <f t="shared" si="1"/>
        <v>6643</v>
      </c>
      <c r="O24" s="14">
        <f t="shared" si="2"/>
        <v>2847</v>
      </c>
    </row>
    <row r="25" spans="1:15" x14ac:dyDescent="0.3">
      <c r="A25" s="8">
        <v>46046</v>
      </c>
      <c r="B25" s="8" t="str">
        <f>TEXT(SalesData[[#This Row],[Date]],"mmm")</f>
        <v>Jan</v>
      </c>
      <c r="C25" s="1" t="s">
        <v>49</v>
      </c>
      <c r="D25" t="s">
        <v>85</v>
      </c>
      <c r="E25" t="s">
        <v>86</v>
      </c>
      <c r="F25" t="s">
        <v>57</v>
      </c>
      <c r="G25" t="s">
        <v>61</v>
      </c>
      <c r="H25" t="s">
        <v>62</v>
      </c>
      <c r="I25">
        <v>7</v>
      </c>
      <c r="J25" s="14">
        <v>2911</v>
      </c>
      <c r="K25" s="6">
        <v>0.15</v>
      </c>
      <c r="L25" t="s">
        <v>67</v>
      </c>
      <c r="M25" s="14">
        <f t="shared" si="0"/>
        <v>17320.45</v>
      </c>
      <c r="N25" s="14">
        <f t="shared" si="1"/>
        <v>12124.315000000001</v>
      </c>
      <c r="O25" s="14">
        <f t="shared" si="2"/>
        <v>5196.1350000000002</v>
      </c>
    </row>
    <row r="26" spans="1:15" x14ac:dyDescent="0.3">
      <c r="A26" s="8">
        <v>46047</v>
      </c>
      <c r="B26" s="8" t="str">
        <f>TEXT(SalesData[[#This Row],[Date]],"mmm")</f>
        <v>Jan</v>
      </c>
      <c r="C26" s="1" t="s">
        <v>50</v>
      </c>
      <c r="D26" t="s">
        <v>84</v>
      </c>
      <c r="E26" t="s">
        <v>65</v>
      </c>
      <c r="F26" t="s">
        <v>15</v>
      </c>
      <c r="G26" t="s">
        <v>69</v>
      </c>
      <c r="H26" t="s">
        <v>70</v>
      </c>
      <c r="I26">
        <v>5</v>
      </c>
      <c r="J26" s="14">
        <v>14000</v>
      </c>
      <c r="K26" s="6">
        <v>0.12</v>
      </c>
      <c r="L26" t="s">
        <v>73</v>
      </c>
      <c r="M26" s="14">
        <f t="shared" si="0"/>
        <v>61600</v>
      </c>
      <c r="N26" s="14">
        <f t="shared" si="1"/>
        <v>43120</v>
      </c>
      <c r="O26" s="14">
        <f t="shared" si="2"/>
        <v>18480</v>
      </c>
    </row>
    <row r="27" spans="1:15" x14ac:dyDescent="0.3">
      <c r="A27" s="8">
        <v>46048</v>
      </c>
      <c r="B27" s="8" t="str">
        <f>TEXT(SalesData[[#This Row],[Date]],"mmm")</f>
        <v>Jan</v>
      </c>
      <c r="C27" s="1" t="s">
        <v>51</v>
      </c>
      <c r="D27" t="s">
        <v>78</v>
      </c>
      <c r="E27" t="s">
        <v>80</v>
      </c>
      <c r="F27" t="s">
        <v>57</v>
      </c>
      <c r="G27" t="s">
        <v>82</v>
      </c>
      <c r="H27" t="s">
        <v>17</v>
      </c>
      <c r="I27">
        <v>3</v>
      </c>
      <c r="J27" s="14">
        <v>14591</v>
      </c>
      <c r="K27" s="6">
        <v>0.05</v>
      </c>
      <c r="L27" t="s">
        <v>67</v>
      </c>
      <c r="M27" s="14">
        <f t="shared" si="0"/>
        <v>41584.35</v>
      </c>
      <c r="N27" s="14">
        <f t="shared" si="1"/>
        <v>29109.044999999998</v>
      </c>
      <c r="O27" s="14">
        <f t="shared" si="2"/>
        <v>12475.305</v>
      </c>
    </row>
    <row r="28" spans="1:15" x14ac:dyDescent="0.3">
      <c r="A28" s="8">
        <v>46049</v>
      </c>
      <c r="B28" s="8" t="str">
        <f>TEXT(SalesData[[#This Row],[Date]],"mmm")</f>
        <v>Jan</v>
      </c>
      <c r="C28" s="1" t="s">
        <v>52</v>
      </c>
      <c r="D28" t="s">
        <v>85</v>
      </c>
      <c r="E28" t="s">
        <v>87</v>
      </c>
      <c r="F28" t="s">
        <v>57</v>
      </c>
      <c r="G28" t="s">
        <v>61</v>
      </c>
      <c r="H28" t="s">
        <v>62</v>
      </c>
      <c r="I28">
        <v>10</v>
      </c>
      <c r="J28" s="14">
        <v>2015</v>
      </c>
      <c r="K28" s="6">
        <v>0.15</v>
      </c>
      <c r="L28" t="s">
        <v>73</v>
      </c>
      <c r="M28" s="14">
        <f t="shared" si="0"/>
        <v>17127.5</v>
      </c>
      <c r="N28" s="14">
        <f t="shared" si="1"/>
        <v>11989.25</v>
      </c>
      <c r="O28" s="14">
        <f t="shared" si="2"/>
        <v>5138.25</v>
      </c>
    </row>
    <row r="29" spans="1:15" x14ac:dyDescent="0.3">
      <c r="A29" s="8">
        <v>46050</v>
      </c>
      <c r="B29" s="8" t="str">
        <f>TEXT(SalesData[[#This Row],[Date]],"mmm")</f>
        <v>Jan</v>
      </c>
      <c r="C29" s="1" t="s">
        <v>53</v>
      </c>
      <c r="D29" t="s">
        <v>85</v>
      </c>
      <c r="E29" t="s">
        <v>65</v>
      </c>
      <c r="F29" t="s">
        <v>15</v>
      </c>
      <c r="G29" t="s">
        <v>69</v>
      </c>
      <c r="H29" t="s">
        <v>70</v>
      </c>
      <c r="I29">
        <v>6</v>
      </c>
      <c r="J29" s="14">
        <v>13937</v>
      </c>
      <c r="K29" s="6">
        <v>0.1</v>
      </c>
      <c r="L29" t="s">
        <v>67</v>
      </c>
      <c r="M29" s="14">
        <f t="shared" si="0"/>
        <v>75259.8</v>
      </c>
      <c r="N29" s="14">
        <f t="shared" si="1"/>
        <v>52681.86</v>
      </c>
      <c r="O29" s="14">
        <f t="shared" si="2"/>
        <v>22577.940000000002</v>
      </c>
    </row>
    <row r="30" spans="1:15" x14ac:dyDescent="0.3">
      <c r="A30" s="8">
        <v>46051</v>
      </c>
      <c r="B30" s="8" t="str">
        <f>TEXT(SalesData[[#This Row],[Date]],"mmm")</f>
        <v>Jan</v>
      </c>
      <c r="C30" s="1" t="s">
        <v>54</v>
      </c>
      <c r="D30" t="s">
        <v>59</v>
      </c>
      <c r="E30" t="s">
        <v>58</v>
      </c>
      <c r="F30" t="s">
        <v>15</v>
      </c>
      <c r="G30" t="s">
        <v>72</v>
      </c>
      <c r="H30" t="s">
        <v>70</v>
      </c>
      <c r="I30">
        <v>4</v>
      </c>
      <c r="J30" s="14">
        <v>8431</v>
      </c>
      <c r="K30" s="6">
        <v>0.1</v>
      </c>
      <c r="L30" t="s">
        <v>67</v>
      </c>
      <c r="M30" s="14">
        <f t="shared" si="0"/>
        <v>30351.600000000002</v>
      </c>
      <c r="N30" s="14">
        <f t="shared" si="1"/>
        <v>21246.12</v>
      </c>
      <c r="O30" s="14">
        <f t="shared" si="2"/>
        <v>9105.4800000000032</v>
      </c>
    </row>
    <row r="31" spans="1:15" x14ac:dyDescent="0.3">
      <c r="A31" s="8">
        <v>46052</v>
      </c>
      <c r="B31" s="8" t="str">
        <f>TEXT(SalesData[[#This Row],[Date]],"mmm")</f>
        <v>Jan</v>
      </c>
      <c r="C31" s="1" t="s">
        <v>55</v>
      </c>
      <c r="D31" t="s">
        <v>64</v>
      </c>
      <c r="E31" t="s">
        <v>21</v>
      </c>
      <c r="F31" t="s">
        <v>22</v>
      </c>
      <c r="G31" t="s">
        <v>61</v>
      </c>
      <c r="H31" t="s">
        <v>62</v>
      </c>
      <c r="I31">
        <v>1</v>
      </c>
      <c r="J31" s="14">
        <v>2117</v>
      </c>
      <c r="K31" s="6">
        <v>0</v>
      </c>
      <c r="L31" t="s">
        <v>77</v>
      </c>
      <c r="M31" s="14">
        <f t="shared" si="0"/>
        <v>2117</v>
      </c>
      <c r="N31" s="14">
        <f t="shared" si="1"/>
        <v>1481.8999999999999</v>
      </c>
      <c r="O31" s="14">
        <f t="shared" si="2"/>
        <v>635.10000000000014</v>
      </c>
    </row>
    <row r="32" spans="1:15" x14ac:dyDescent="0.3">
      <c r="A32" s="8">
        <v>46053</v>
      </c>
      <c r="B32" s="8" t="str">
        <f>TEXT(SalesData[[#This Row],[Date]],"mmm")</f>
        <v>Jan</v>
      </c>
      <c r="C32" s="1" t="s">
        <v>91</v>
      </c>
      <c r="D32" t="s">
        <v>81</v>
      </c>
      <c r="E32" t="s">
        <v>79</v>
      </c>
      <c r="F32" t="s">
        <v>56</v>
      </c>
      <c r="G32" t="s">
        <v>61</v>
      </c>
      <c r="H32" t="s">
        <v>62</v>
      </c>
      <c r="I32">
        <v>8</v>
      </c>
      <c r="J32" s="14">
        <v>2959</v>
      </c>
      <c r="K32" s="6">
        <v>0.05</v>
      </c>
      <c r="L32" t="s">
        <v>67</v>
      </c>
      <c r="M32" s="14">
        <f t="shared" si="0"/>
        <v>22488.399999999998</v>
      </c>
      <c r="N32" s="14">
        <f t="shared" si="1"/>
        <v>15741.879999999997</v>
      </c>
      <c r="O32" s="14">
        <f t="shared" si="2"/>
        <v>6746.52</v>
      </c>
    </row>
    <row r="33" spans="1:15" x14ac:dyDescent="0.3">
      <c r="A33" s="8">
        <v>46054</v>
      </c>
      <c r="B33" s="8" t="str">
        <f>TEXT(SalesData[[#This Row],[Date]],"mmm")</f>
        <v>Feb</v>
      </c>
      <c r="C33" s="1" t="s">
        <v>92</v>
      </c>
      <c r="D33" t="s">
        <v>59</v>
      </c>
      <c r="E33" t="s">
        <v>88</v>
      </c>
      <c r="F33" t="s">
        <v>89</v>
      </c>
      <c r="G33" t="s">
        <v>23</v>
      </c>
      <c r="H33" t="s">
        <v>24</v>
      </c>
      <c r="I33">
        <v>2</v>
      </c>
      <c r="J33" s="14">
        <v>11801</v>
      </c>
      <c r="K33" s="6">
        <v>0</v>
      </c>
      <c r="L33" t="s">
        <v>73</v>
      </c>
      <c r="M33" s="14">
        <f t="shared" si="0"/>
        <v>23602</v>
      </c>
      <c r="N33" s="14">
        <f t="shared" si="1"/>
        <v>16521.399999999998</v>
      </c>
      <c r="O33" s="14">
        <f t="shared" si="2"/>
        <v>7080.6000000000022</v>
      </c>
    </row>
    <row r="34" spans="1:15" x14ac:dyDescent="0.3">
      <c r="A34" s="8">
        <v>46055</v>
      </c>
      <c r="B34" s="8" t="str">
        <f>TEXT(SalesData[[#This Row],[Date]],"mmm")</f>
        <v>Feb</v>
      </c>
      <c r="C34" s="1" t="s">
        <v>93</v>
      </c>
      <c r="D34" t="s">
        <v>75</v>
      </c>
      <c r="E34" t="s">
        <v>86</v>
      </c>
      <c r="F34" t="s">
        <v>57</v>
      </c>
      <c r="G34" t="s">
        <v>76</v>
      </c>
      <c r="H34" t="s">
        <v>62</v>
      </c>
      <c r="I34">
        <v>1</v>
      </c>
      <c r="J34" s="14">
        <v>557</v>
      </c>
      <c r="K34" s="6">
        <v>0.12</v>
      </c>
      <c r="L34" t="s">
        <v>63</v>
      </c>
      <c r="M34" s="14">
        <f t="shared" si="0"/>
        <v>490.16</v>
      </c>
      <c r="N34" s="14">
        <f t="shared" si="1"/>
        <v>343.11200000000002</v>
      </c>
      <c r="O34" s="14">
        <f t="shared" si="2"/>
        <v>147.048</v>
      </c>
    </row>
    <row r="35" spans="1:15" x14ac:dyDescent="0.3">
      <c r="A35" s="8">
        <v>46056</v>
      </c>
      <c r="B35" s="8" t="str">
        <f>TEXT(SalesData[[#This Row],[Date]],"mmm")</f>
        <v>Feb</v>
      </c>
      <c r="C35" s="1" t="s">
        <v>94</v>
      </c>
      <c r="D35" t="s">
        <v>90</v>
      </c>
      <c r="E35" t="s">
        <v>65</v>
      </c>
      <c r="F35" t="s">
        <v>15</v>
      </c>
      <c r="G35" t="s">
        <v>66</v>
      </c>
      <c r="H35" t="s">
        <v>62</v>
      </c>
      <c r="I35">
        <v>2</v>
      </c>
      <c r="J35" s="14">
        <v>1453</v>
      </c>
      <c r="K35" s="6">
        <v>0.1</v>
      </c>
      <c r="L35" t="s">
        <v>67</v>
      </c>
      <c r="M35" s="14">
        <f t="shared" si="0"/>
        <v>2615.4</v>
      </c>
      <c r="N35" s="14">
        <f t="shared" si="1"/>
        <v>1830.78</v>
      </c>
      <c r="O35" s="14">
        <f t="shared" si="2"/>
        <v>784.62000000000012</v>
      </c>
    </row>
    <row r="36" spans="1:15" x14ac:dyDescent="0.3">
      <c r="A36" s="8">
        <v>46057</v>
      </c>
      <c r="B36" s="8" t="str">
        <f>TEXT(SalesData[[#This Row],[Date]],"mmm")</f>
        <v>Feb</v>
      </c>
      <c r="C36" s="1" t="s">
        <v>95</v>
      </c>
      <c r="D36" t="s">
        <v>75</v>
      </c>
      <c r="E36" t="s">
        <v>79</v>
      </c>
      <c r="F36" t="s">
        <v>56</v>
      </c>
      <c r="G36" t="s">
        <v>61</v>
      </c>
      <c r="H36" t="s">
        <v>62</v>
      </c>
      <c r="I36">
        <v>4</v>
      </c>
      <c r="J36" s="14">
        <v>2199</v>
      </c>
      <c r="K36" s="6">
        <v>0.12</v>
      </c>
      <c r="L36" t="s">
        <v>67</v>
      </c>
      <c r="M36" s="14">
        <f t="shared" si="0"/>
        <v>7740.4800000000005</v>
      </c>
      <c r="N36" s="14">
        <f t="shared" si="1"/>
        <v>5418.3360000000002</v>
      </c>
      <c r="O36" s="14">
        <f t="shared" si="2"/>
        <v>2322.1440000000002</v>
      </c>
    </row>
    <row r="37" spans="1:15" x14ac:dyDescent="0.3">
      <c r="A37" s="8">
        <v>46058</v>
      </c>
      <c r="B37" s="8" t="str">
        <f>TEXT(SalesData[[#This Row],[Date]],"mmm")</f>
        <v>Feb</v>
      </c>
      <c r="C37" s="1" t="s">
        <v>96</v>
      </c>
      <c r="D37" t="s">
        <v>84</v>
      </c>
      <c r="E37" t="s">
        <v>79</v>
      </c>
      <c r="F37" t="s">
        <v>56</v>
      </c>
      <c r="G37" t="s">
        <v>76</v>
      </c>
      <c r="H37" t="s">
        <v>62</v>
      </c>
      <c r="I37">
        <v>2</v>
      </c>
      <c r="J37" s="14">
        <v>829</v>
      </c>
      <c r="K37" s="6">
        <v>0.08</v>
      </c>
      <c r="L37" t="s">
        <v>77</v>
      </c>
      <c r="M37" s="14">
        <f t="shared" si="0"/>
        <v>1525.3600000000001</v>
      </c>
      <c r="N37" s="14">
        <f t="shared" si="1"/>
        <v>1067.752</v>
      </c>
      <c r="O37" s="14">
        <f t="shared" si="2"/>
        <v>457.60800000000017</v>
      </c>
    </row>
    <row r="38" spans="1:15" x14ac:dyDescent="0.3">
      <c r="A38" s="8">
        <v>46059</v>
      </c>
      <c r="B38" s="8" t="str">
        <f>TEXT(SalesData[[#This Row],[Date]],"mmm")</f>
        <v>Feb</v>
      </c>
      <c r="C38" s="1" t="s">
        <v>97</v>
      </c>
      <c r="D38" t="s">
        <v>90</v>
      </c>
      <c r="E38" t="s">
        <v>87</v>
      </c>
      <c r="F38" t="s">
        <v>57</v>
      </c>
      <c r="G38" t="s">
        <v>82</v>
      </c>
      <c r="H38" t="s">
        <v>17</v>
      </c>
      <c r="I38">
        <v>6</v>
      </c>
      <c r="J38" s="14">
        <v>15285</v>
      </c>
      <c r="K38" s="6">
        <v>0.05</v>
      </c>
      <c r="L38" t="s">
        <v>77</v>
      </c>
      <c r="M38" s="14">
        <f t="shared" si="0"/>
        <v>87124.5</v>
      </c>
      <c r="N38" s="14">
        <f t="shared" si="1"/>
        <v>60987.149999999994</v>
      </c>
      <c r="O38" s="14">
        <f t="shared" si="2"/>
        <v>26137.350000000006</v>
      </c>
    </row>
    <row r="39" spans="1:15" x14ac:dyDescent="0.3">
      <c r="A39" s="8">
        <v>46060</v>
      </c>
      <c r="B39" s="8" t="str">
        <f>TEXT(SalesData[[#This Row],[Date]],"mmm")</f>
        <v>Feb</v>
      </c>
      <c r="C39" s="1" t="s">
        <v>98</v>
      </c>
      <c r="D39" t="s">
        <v>84</v>
      </c>
      <c r="E39" t="s">
        <v>60</v>
      </c>
      <c r="F39" t="s">
        <v>22</v>
      </c>
      <c r="G39" t="s">
        <v>82</v>
      </c>
      <c r="H39" t="s">
        <v>17</v>
      </c>
      <c r="I39">
        <v>8</v>
      </c>
      <c r="J39" s="14">
        <v>15149</v>
      </c>
      <c r="K39" s="6">
        <v>0</v>
      </c>
      <c r="L39" t="s">
        <v>67</v>
      </c>
      <c r="M39" s="14">
        <f t="shared" si="0"/>
        <v>121192</v>
      </c>
      <c r="N39" s="14">
        <f t="shared" si="1"/>
        <v>84834.4</v>
      </c>
      <c r="O39" s="14">
        <f t="shared" si="2"/>
        <v>36357.600000000006</v>
      </c>
    </row>
    <row r="40" spans="1:15" x14ac:dyDescent="0.3">
      <c r="A40" s="8">
        <v>46061</v>
      </c>
      <c r="B40" s="8" t="str">
        <f>TEXT(SalesData[[#This Row],[Date]],"mmm")</f>
        <v>Feb</v>
      </c>
      <c r="C40" s="1" t="s">
        <v>99</v>
      </c>
      <c r="D40" t="s">
        <v>85</v>
      </c>
      <c r="E40" t="s">
        <v>60</v>
      </c>
      <c r="F40" t="s">
        <v>22</v>
      </c>
      <c r="G40" t="s">
        <v>72</v>
      </c>
      <c r="H40" t="s">
        <v>70</v>
      </c>
      <c r="I40">
        <v>10</v>
      </c>
      <c r="J40" s="14">
        <v>8006</v>
      </c>
      <c r="K40" s="6">
        <v>0.08</v>
      </c>
      <c r="L40" t="s">
        <v>73</v>
      </c>
      <c r="M40" s="14">
        <f t="shared" si="0"/>
        <v>73655.199999999997</v>
      </c>
      <c r="N40" s="14">
        <f t="shared" si="1"/>
        <v>51558.639999999992</v>
      </c>
      <c r="O40" s="14">
        <f t="shared" si="2"/>
        <v>22096.560000000005</v>
      </c>
    </row>
    <row r="41" spans="1:15" x14ac:dyDescent="0.3">
      <c r="A41" s="8">
        <v>46062</v>
      </c>
      <c r="B41" s="8" t="str">
        <f>TEXT(SalesData[[#This Row],[Date]],"mmm")</f>
        <v>Feb</v>
      </c>
      <c r="C41" s="1" t="s">
        <v>100</v>
      </c>
      <c r="D41" t="s">
        <v>84</v>
      </c>
      <c r="E41" t="s">
        <v>60</v>
      </c>
      <c r="F41" t="s">
        <v>22</v>
      </c>
      <c r="G41" t="s">
        <v>66</v>
      </c>
      <c r="H41" t="s">
        <v>62</v>
      </c>
      <c r="I41">
        <v>5</v>
      </c>
      <c r="J41" s="14">
        <v>1671</v>
      </c>
      <c r="K41" s="6">
        <v>0.08</v>
      </c>
      <c r="L41" t="s">
        <v>63</v>
      </c>
      <c r="M41" s="14">
        <f t="shared" si="0"/>
        <v>7686.6</v>
      </c>
      <c r="N41" s="14">
        <f t="shared" si="1"/>
        <v>5380.62</v>
      </c>
      <c r="O41" s="14">
        <f t="shared" si="2"/>
        <v>2305.9800000000005</v>
      </c>
    </row>
    <row r="42" spans="1:15" x14ac:dyDescent="0.3">
      <c r="A42" s="8">
        <v>46063</v>
      </c>
      <c r="B42" s="8" t="str">
        <f>TEXT(SalesData[[#This Row],[Date]],"mmm")</f>
        <v>Feb</v>
      </c>
      <c r="C42" s="1" t="s">
        <v>101</v>
      </c>
      <c r="D42" t="s">
        <v>74</v>
      </c>
      <c r="E42" t="s">
        <v>80</v>
      </c>
      <c r="F42" t="s">
        <v>57</v>
      </c>
      <c r="G42" t="s">
        <v>76</v>
      </c>
      <c r="H42" t="s">
        <v>62</v>
      </c>
      <c r="I42">
        <v>4</v>
      </c>
      <c r="J42" s="14">
        <v>448</v>
      </c>
      <c r="K42" s="6">
        <v>0.08</v>
      </c>
      <c r="L42" t="s">
        <v>63</v>
      </c>
      <c r="M42" s="14">
        <f t="shared" si="0"/>
        <v>1648.64</v>
      </c>
      <c r="N42" s="14">
        <f t="shared" si="1"/>
        <v>1154.048</v>
      </c>
      <c r="O42" s="14">
        <f t="shared" si="2"/>
        <v>494.5920000000001</v>
      </c>
    </row>
    <row r="43" spans="1:15" x14ac:dyDescent="0.3">
      <c r="A43" s="8">
        <v>46064</v>
      </c>
      <c r="B43" s="8" t="str">
        <f>TEXT(SalesData[[#This Row],[Date]],"mmm")</f>
        <v>Feb</v>
      </c>
      <c r="C43" s="1" t="s">
        <v>102</v>
      </c>
      <c r="D43" t="s">
        <v>81</v>
      </c>
      <c r="E43" t="s">
        <v>87</v>
      </c>
      <c r="F43" t="s">
        <v>57</v>
      </c>
      <c r="G43" t="s">
        <v>23</v>
      </c>
      <c r="H43" t="s">
        <v>24</v>
      </c>
      <c r="I43">
        <v>9</v>
      </c>
      <c r="J43" s="14">
        <v>11602</v>
      </c>
      <c r="K43" s="6">
        <v>0.1</v>
      </c>
      <c r="L43" t="s">
        <v>77</v>
      </c>
      <c r="M43" s="14">
        <f t="shared" si="0"/>
        <v>93976.2</v>
      </c>
      <c r="N43" s="14">
        <f t="shared" si="1"/>
        <v>65783.34</v>
      </c>
      <c r="O43" s="14">
        <f t="shared" si="2"/>
        <v>28192.86</v>
      </c>
    </row>
    <row r="44" spans="1:15" x14ac:dyDescent="0.3">
      <c r="A44" s="8">
        <v>46065</v>
      </c>
      <c r="B44" s="8" t="str">
        <f>TEXT(SalesData[[#This Row],[Date]],"mmm")</f>
        <v>Feb</v>
      </c>
      <c r="C44" s="1" t="s">
        <v>103</v>
      </c>
      <c r="D44" t="s">
        <v>74</v>
      </c>
      <c r="E44" t="s">
        <v>79</v>
      </c>
      <c r="F44" t="s">
        <v>56</v>
      </c>
      <c r="G44" t="s">
        <v>82</v>
      </c>
      <c r="H44" t="s">
        <v>17</v>
      </c>
      <c r="I44">
        <v>7</v>
      </c>
      <c r="J44" s="14">
        <v>15315</v>
      </c>
      <c r="K44" s="6">
        <v>0</v>
      </c>
      <c r="L44" t="s">
        <v>77</v>
      </c>
      <c r="M44" s="14">
        <f t="shared" si="0"/>
        <v>107205</v>
      </c>
      <c r="N44" s="14">
        <f t="shared" si="1"/>
        <v>75043.5</v>
      </c>
      <c r="O44" s="14">
        <f t="shared" si="2"/>
        <v>32161.5</v>
      </c>
    </row>
    <row r="45" spans="1:15" x14ac:dyDescent="0.3">
      <c r="A45" s="8">
        <v>46066</v>
      </c>
      <c r="B45" s="8" t="str">
        <f>TEXT(SalesData[[#This Row],[Date]],"mmm")</f>
        <v>Feb</v>
      </c>
      <c r="C45" s="1" t="s">
        <v>104</v>
      </c>
      <c r="D45" t="s">
        <v>71</v>
      </c>
      <c r="E45" t="s">
        <v>14</v>
      </c>
      <c r="F45" t="s">
        <v>15</v>
      </c>
      <c r="G45" t="s">
        <v>16</v>
      </c>
      <c r="H45" t="s">
        <v>17</v>
      </c>
      <c r="I45">
        <v>9</v>
      </c>
      <c r="J45" s="14">
        <v>55407</v>
      </c>
      <c r="K45" s="6">
        <v>0.05</v>
      </c>
      <c r="L45" t="s">
        <v>73</v>
      </c>
      <c r="M45" s="14">
        <f t="shared" si="0"/>
        <v>473729.85</v>
      </c>
      <c r="N45" s="14">
        <f t="shared" si="1"/>
        <v>331610.89499999996</v>
      </c>
      <c r="O45" s="14">
        <f t="shared" si="2"/>
        <v>142118.95500000002</v>
      </c>
    </row>
    <row r="46" spans="1:15" x14ac:dyDescent="0.3">
      <c r="A46" s="8">
        <v>46067</v>
      </c>
      <c r="B46" s="8" t="str">
        <f>TEXT(SalesData[[#This Row],[Date]],"mmm")</f>
        <v>Feb</v>
      </c>
      <c r="C46" s="1" t="s">
        <v>105</v>
      </c>
      <c r="D46" t="s">
        <v>68</v>
      </c>
      <c r="E46" t="s">
        <v>79</v>
      </c>
      <c r="F46" t="s">
        <v>56</v>
      </c>
      <c r="G46" t="s">
        <v>16</v>
      </c>
      <c r="H46" t="s">
        <v>17</v>
      </c>
      <c r="I46">
        <v>5</v>
      </c>
      <c r="J46" s="14">
        <v>55239</v>
      </c>
      <c r="K46" s="6">
        <v>0.1</v>
      </c>
      <c r="L46" t="s">
        <v>73</v>
      </c>
      <c r="M46" s="14">
        <f t="shared" si="0"/>
        <v>248575.5</v>
      </c>
      <c r="N46" s="14">
        <f t="shared" si="1"/>
        <v>174002.84999999998</v>
      </c>
      <c r="O46" s="14">
        <f t="shared" si="2"/>
        <v>74572.650000000023</v>
      </c>
    </row>
    <row r="47" spans="1:15" x14ac:dyDescent="0.3">
      <c r="A47" s="8">
        <v>46068</v>
      </c>
      <c r="B47" s="8" t="str">
        <f>TEXT(SalesData[[#This Row],[Date]],"mmm")</f>
        <v>Feb</v>
      </c>
      <c r="C47" s="1" t="s">
        <v>106</v>
      </c>
      <c r="D47" t="s">
        <v>84</v>
      </c>
      <c r="E47" t="s">
        <v>65</v>
      </c>
      <c r="F47" t="s">
        <v>15</v>
      </c>
      <c r="G47" t="s">
        <v>66</v>
      </c>
      <c r="H47" t="s">
        <v>62</v>
      </c>
      <c r="I47">
        <v>4</v>
      </c>
      <c r="J47" s="14">
        <v>783</v>
      </c>
      <c r="K47" s="6">
        <v>0.1</v>
      </c>
      <c r="L47" t="s">
        <v>63</v>
      </c>
      <c r="M47" s="14">
        <f t="shared" si="0"/>
        <v>2818.8</v>
      </c>
      <c r="N47" s="14">
        <f t="shared" si="1"/>
        <v>1973.16</v>
      </c>
      <c r="O47" s="14">
        <f t="shared" si="2"/>
        <v>845.6400000000001</v>
      </c>
    </row>
    <row r="48" spans="1:15" x14ac:dyDescent="0.3">
      <c r="A48" s="8">
        <v>46069</v>
      </c>
      <c r="B48" s="8" t="str">
        <f>TEXT(SalesData[[#This Row],[Date]],"mmm")</f>
        <v>Feb</v>
      </c>
      <c r="C48" s="1" t="s">
        <v>107</v>
      </c>
      <c r="D48" t="s">
        <v>75</v>
      </c>
      <c r="E48" t="s">
        <v>21</v>
      </c>
      <c r="F48" t="s">
        <v>22</v>
      </c>
      <c r="G48" t="s">
        <v>61</v>
      </c>
      <c r="H48" t="s">
        <v>62</v>
      </c>
      <c r="I48">
        <v>7</v>
      </c>
      <c r="J48" s="14">
        <v>2040</v>
      </c>
      <c r="K48" s="6">
        <v>0.1</v>
      </c>
      <c r="L48" t="s">
        <v>63</v>
      </c>
      <c r="M48" s="14">
        <f t="shared" si="0"/>
        <v>12852</v>
      </c>
      <c r="N48" s="14">
        <f t="shared" si="1"/>
        <v>8996.4</v>
      </c>
      <c r="O48" s="14">
        <f t="shared" si="2"/>
        <v>3855.6000000000004</v>
      </c>
    </row>
    <row r="49" spans="1:15" x14ac:dyDescent="0.3">
      <c r="A49" s="8">
        <v>46070</v>
      </c>
      <c r="B49" s="8" t="str">
        <f>TEXT(SalesData[[#This Row],[Date]],"mmm")</f>
        <v>Feb</v>
      </c>
      <c r="C49" s="1" t="s">
        <v>108</v>
      </c>
      <c r="D49" t="s">
        <v>85</v>
      </c>
      <c r="E49" t="s">
        <v>80</v>
      </c>
      <c r="F49" t="s">
        <v>57</v>
      </c>
      <c r="G49" t="s">
        <v>16</v>
      </c>
      <c r="H49" t="s">
        <v>17</v>
      </c>
      <c r="I49">
        <v>1</v>
      </c>
      <c r="J49" s="14">
        <v>54923</v>
      </c>
      <c r="K49" s="6">
        <v>0.08</v>
      </c>
      <c r="L49" t="s">
        <v>63</v>
      </c>
      <c r="M49" s="14">
        <f t="shared" si="0"/>
        <v>50529.16</v>
      </c>
      <c r="N49" s="14">
        <f t="shared" si="1"/>
        <v>35370.411999999997</v>
      </c>
      <c r="O49" s="14">
        <f t="shared" si="2"/>
        <v>15158.748000000007</v>
      </c>
    </row>
    <row r="50" spans="1:15" x14ac:dyDescent="0.3">
      <c r="A50" s="8">
        <v>46071</v>
      </c>
      <c r="B50" s="8" t="str">
        <f>TEXT(SalesData[[#This Row],[Date]],"mmm")</f>
        <v>Feb</v>
      </c>
      <c r="C50" s="1" t="s">
        <v>109</v>
      </c>
      <c r="D50" t="s">
        <v>68</v>
      </c>
      <c r="E50" t="s">
        <v>88</v>
      </c>
      <c r="F50" t="s">
        <v>89</v>
      </c>
      <c r="G50" t="s">
        <v>82</v>
      </c>
      <c r="H50" t="s">
        <v>17</v>
      </c>
      <c r="I50">
        <v>3</v>
      </c>
      <c r="J50" s="14">
        <v>15478</v>
      </c>
      <c r="K50" s="6">
        <v>0.1</v>
      </c>
      <c r="L50" t="s">
        <v>77</v>
      </c>
      <c r="M50" s="14">
        <f t="shared" si="0"/>
        <v>41790.6</v>
      </c>
      <c r="N50" s="14">
        <f t="shared" si="1"/>
        <v>29253.42</v>
      </c>
      <c r="O50" s="14">
        <f t="shared" si="2"/>
        <v>12537.18</v>
      </c>
    </row>
    <row r="51" spans="1:15" x14ac:dyDescent="0.3">
      <c r="A51" s="8">
        <v>46072</v>
      </c>
      <c r="B51" s="8" t="str">
        <f>TEXT(SalesData[[#This Row],[Date]],"mmm")</f>
        <v>Feb</v>
      </c>
      <c r="C51" s="1" t="s">
        <v>110</v>
      </c>
      <c r="D51" t="s">
        <v>75</v>
      </c>
      <c r="E51" t="s">
        <v>60</v>
      </c>
      <c r="F51" t="s">
        <v>22</v>
      </c>
      <c r="G51" t="s">
        <v>72</v>
      </c>
      <c r="H51" t="s">
        <v>70</v>
      </c>
      <c r="I51">
        <v>10</v>
      </c>
      <c r="J51" s="14">
        <v>8814</v>
      </c>
      <c r="K51" s="6">
        <v>0.15</v>
      </c>
      <c r="L51" t="s">
        <v>67</v>
      </c>
      <c r="M51" s="14">
        <f t="shared" si="0"/>
        <v>74919</v>
      </c>
      <c r="N51" s="14">
        <f t="shared" si="1"/>
        <v>52443.299999999996</v>
      </c>
      <c r="O51" s="14">
        <f t="shared" si="2"/>
        <v>22475.700000000004</v>
      </c>
    </row>
    <row r="52" spans="1:15" x14ac:dyDescent="0.3">
      <c r="A52" s="8">
        <v>46073</v>
      </c>
      <c r="B52" s="8" t="str">
        <f>TEXT(SalesData[[#This Row],[Date]],"mmm")</f>
        <v>Feb</v>
      </c>
      <c r="C52" s="1" t="s">
        <v>111</v>
      </c>
      <c r="D52" t="s">
        <v>83</v>
      </c>
      <c r="E52" t="s">
        <v>87</v>
      </c>
      <c r="F52" t="s">
        <v>57</v>
      </c>
      <c r="G52" t="s">
        <v>82</v>
      </c>
      <c r="H52" t="s">
        <v>17</v>
      </c>
      <c r="I52">
        <v>5</v>
      </c>
      <c r="J52" s="14">
        <v>15300</v>
      </c>
      <c r="K52" s="6">
        <v>0</v>
      </c>
      <c r="L52" t="s">
        <v>77</v>
      </c>
      <c r="M52" s="14">
        <f t="shared" si="0"/>
        <v>76500</v>
      </c>
      <c r="N52" s="14">
        <f t="shared" si="1"/>
        <v>53550</v>
      </c>
      <c r="O52" s="14">
        <f t="shared" si="2"/>
        <v>22950</v>
      </c>
    </row>
    <row r="53" spans="1:15" x14ac:dyDescent="0.3">
      <c r="A53" s="8">
        <v>46074</v>
      </c>
      <c r="B53" s="8" t="str">
        <f>TEXT(SalesData[[#This Row],[Date]],"mmm")</f>
        <v>Feb</v>
      </c>
      <c r="C53" s="1" t="s">
        <v>112</v>
      </c>
      <c r="D53" t="s">
        <v>68</v>
      </c>
      <c r="E53" t="s">
        <v>86</v>
      </c>
      <c r="F53" t="s">
        <v>57</v>
      </c>
      <c r="G53" t="s">
        <v>82</v>
      </c>
      <c r="H53" t="s">
        <v>17</v>
      </c>
      <c r="I53">
        <v>1</v>
      </c>
      <c r="J53" s="14">
        <v>15337</v>
      </c>
      <c r="K53" s="6">
        <v>0.1</v>
      </c>
      <c r="L53" t="s">
        <v>67</v>
      </c>
      <c r="M53" s="14">
        <f t="shared" si="0"/>
        <v>13803.300000000001</v>
      </c>
      <c r="N53" s="14">
        <f t="shared" si="1"/>
        <v>9662.31</v>
      </c>
      <c r="O53" s="14">
        <f t="shared" si="2"/>
        <v>4140.9900000000016</v>
      </c>
    </row>
    <row r="54" spans="1:15" x14ac:dyDescent="0.3">
      <c r="A54" s="8">
        <v>46075</v>
      </c>
      <c r="B54" s="8" t="str">
        <f>TEXT(SalesData[[#This Row],[Date]],"mmm")</f>
        <v>Feb</v>
      </c>
      <c r="C54" s="1" t="s">
        <v>113</v>
      </c>
      <c r="D54" t="s">
        <v>83</v>
      </c>
      <c r="E54" t="s">
        <v>21</v>
      </c>
      <c r="F54" t="s">
        <v>22</v>
      </c>
      <c r="G54" t="s">
        <v>72</v>
      </c>
      <c r="H54" t="s">
        <v>70</v>
      </c>
      <c r="I54">
        <v>5</v>
      </c>
      <c r="J54" s="14">
        <v>8864</v>
      </c>
      <c r="K54" s="6">
        <v>0.1</v>
      </c>
      <c r="L54" t="s">
        <v>73</v>
      </c>
      <c r="M54" s="14">
        <f t="shared" si="0"/>
        <v>39888</v>
      </c>
      <c r="N54" s="14">
        <f t="shared" si="1"/>
        <v>27921.599999999999</v>
      </c>
      <c r="O54" s="14">
        <f t="shared" si="2"/>
        <v>11966.400000000001</v>
      </c>
    </row>
    <row r="55" spans="1:15" x14ac:dyDescent="0.3">
      <c r="A55" s="8">
        <v>46076</v>
      </c>
      <c r="B55" s="8" t="str">
        <f>TEXT(SalesData[[#This Row],[Date]],"mmm")</f>
        <v>Feb</v>
      </c>
      <c r="C55" s="1" t="s">
        <v>114</v>
      </c>
      <c r="D55" t="s">
        <v>83</v>
      </c>
      <c r="E55" t="s">
        <v>87</v>
      </c>
      <c r="F55" t="s">
        <v>57</v>
      </c>
      <c r="G55" t="s">
        <v>69</v>
      </c>
      <c r="H55" t="s">
        <v>70</v>
      </c>
      <c r="I55">
        <v>3</v>
      </c>
      <c r="J55" s="14">
        <v>14319</v>
      </c>
      <c r="K55" s="6">
        <v>0.15</v>
      </c>
      <c r="L55" t="s">
        <v>63</v>
      </c>
      <c r="M55" s="14">
        <f t="shared" si="0"/>
        <v>36513.449999999997</v>
      </c>
      <c r="N55" s="14">
        <f t="shared" si="1"/>
        <v>25559.414999999997</v>
      </c>
      <c r="O55" s="14">
        <f t="shared" si="2"/>
        <v>10954.035</v>
      </c>
    </row>
    <row r="56" spans="1:15" x14ac:dyDescent="0.3">
      <c r="A56" s="8">
        <v>46077</v>
      </c>
      <c r="B56" s="8" t="str">
        <f>TEXT(SalesData[[#This Row],[Date]],"mmm")</f>
        <v>Feb</v>
      </c>
      <c r="C56" s="1" t="s">
        <v>115</v>
      </c>
      <c r="D56" t="s">
        <v>84</v>
      </c>
      <c r="E56" t="s">
        <v>65</v>
      </c>
      <c r="F56" t="s">
        <v>15</v>
      </c>
      <c r="G56" t="s">
        <v>76</v>
      </c>
      <c r="H56" t="s">
        <v>62</v>
      </c>
      <c r="I56">
        <v>10</v>
      </c>
      <c r="J56" s="14">
        <v>709</v>
      </c>
      <c r="K56" s="6">
        <v>0.05</v>
      </c>
      <c r="L56" t="s">
        <v>67</v>
      </c>
      <c r="M56" s="14">
        <f t="shared" si="0"/>
        <v>6735.5</v>
      </c>
      <c r="N56" s="14">
        <f t="shared" si="1"/>
        <v>4714.8499999999995</v>
      </c>
      <c r="O56" s="14">
        <f t="shared" si="2"/>
        <v>2020.6500000000005</v>
      </c>
    </row>
    <row r="57" spans="1:15" x14ac:dyDescent="0.3">
      <c r="A57" s="8">
        <v>46078</v>
      </c>
      <c r="B57" s="8" t="str">
        <f>TEXT(SalesData[[#This Row],[Date]],"mmm")</f>
        <v>Feb</v>
      </c>
      <c r="C57" s="1" t="s">
        <v>116</v>
      </c>
      <c r="D57" t="s">
        <v>84</v>
      </c>
      <c r="E57" t="s">
        <v>60</v>
      </c>
      <c r="F57" t="s">
        <v>22</v>
      </c>
      <c r="G57" t="s">
        <v>23</v>
      </c>
      <c r="H57" t="s">
        <v>24</v>
      </c>
      <c r="I57">
        <v>8</v>
      </c>
      <c r="J57" s="14">
        <v>12365</v>
      </c>
      <c r="K57" s="6">
        <v>0.05</v>
      </c>
      <c r="L57" t="s">
        <v>73</v>
      </c>
      <c r="M57" s="14">
        <f t="shared" si="0"/>
        <v>93974</v>
      </c>
      <c r="N57" s="14">
        <f t="shared" si="1"/>
        <v>65781.8</v>
      </c>
      <c r="O57" s="14">
        <f t="shared" si="2"/>
        <v>28192.199999999997</v>
      </c>
    </row>
    <row r="58" spans="1:15" x14ac:dyDescent="0.3">
      <c r="A58" s="8">
        <v>46079</v>
      </c>
      <c r="B58" s="8" t="str">
        <f>TEXT(SalesData[[#This Row],[Date]],"mmm")</f>
        <v>Feb</v>
      </c>
      <c r="C58" s="1" t="s">
        <v>117</v>
      </c>
      <c r="D58" t="s">
        <v>68</v>
      </c>
      <c r="E58" t="s">
        <v>60</v>
      </c>
      <c r="F58" t="s">
        <v>22</v>
      </c>
      <c r="G58" t="s">
        <v>23</v>
      </c>
      <c r="H58" t="s">
        <v>24</v>
      </c>
      <c r="I58">
        <v>6</v>
      </c>
      <c r="J58" s="14">
        <v>11623</v>
      </c>
      <c r="K58" s="6">
        <v>0.05</v>
      </c>
      <c r="L58" t="s">
        <v>67</v>
      </c>
      <c r="M58" s="14">
        <f t="shared" si="0"/>
        <v>66251.099999999991</v>
      </c>
      <c r="N58" s="14">
        <f t="shared" si="1"/>
        <v>46375.76999999999</v>
      </c>
      <c r="O58" s="14">
        <f t="shared" si="2"/>
        <v>19875.330000000002</v>
      </c>
    </row>
    <row r="59" spans="1:15" x14ac:dyDescent="0.3">
      <c r="A59" s="8">
        <v>46080</v>
      </c>
      <c r="B59" s="8" t="str">
        <f>TEXT(SalesData[[#This Row],[Date]],"mmm")</f>
        <v>Feb</v>
      </c>
      <c r="C59" s="1" t="s">
        <v>118</v>
      </c>
      <c r="D59" t="s">
        <v>64</v>
      </c>
      <c r="E59" t="s">
        <v>87</v>
      </c>
      <c r="F59" t="s">
        <v>57</v>
      </c>
      <c r="G59" t="s">
        <v>82</v>
      </c>
      <c r="H59" t="s">
        <v>17</v>
      </c>
      <c r="I59">
        <v>5</v>
      </c>
      <c r="J59" s="14">
        <v>15427</v>
      </c>
      <c r="K59" s="6">
        <v>0.15</v>
      </c>
      <c r="L59" t="s">
        <v>73</v>
      </c>
      <c r="M59" s="14">
        <f t="shared" si="0"/>
        <v>65564.75</v>
      </c>
      <c r="N59" s="14">
        <f t="shared" si="1"/>
        <v>45895.324999999997</v>
      </c>
      <c r="O59" s="14">
        <f t="shared" si="2"/>
        <v>19669.425000000003</v>
      </c>
    </row>
    <row r="60" spans="1:15" x14ac:dyDescent="0.3">
      <c r="A60" s="8">
        <v>46081</v>
      </c>
      <c r="B60" s="8" t="str">
        <f>TEXT(SalesData[[#This Row],[Date]],"mmm")</f>
        <v>Feb</v>
      </c>
      <c r="C60" s="1" t="s">
        <v>119</v>
      </c>
      <c r="D60" t="s">
        <v>68</v>
      </c>
      <c r="E60" t="s">
        <v>88</v>
      </c>
      <c r="F60" t="s">
        <v>89</v>
      </c>
      <c r="G60" t="s">
        <v>82</v>
      </c>
      <c r="H60" t="s">
        <v>17</v>
      </c>
      <c r="I60">
        <v>6</v>
      </c>
      <c r="J60" s="14">
        <v>15035</v>
      </c>
      <c r="K60" s="6">
        <v>0</v>
      </c>
      <c r="L60" t="s">
        <v>63</v>
      </c>
      <c r="M60" s="14">
        <f t="shared" si="0"/>
        <v>90210</v>
      </c>
      <c r="N60" s="14">
        <f t="shared" si="1"/>
        <v>63146.999999999993</v>
      </c>
      <c r="O60" s="14">
        <f t="shared" si="2"/>
        <v>27063.000000000007</v>
      </c>
    </row>
    <row r="61" spans="1:15" x14ac:dyDescent="0.3">
      <c r="A61" s="8">
        <v>46082</v>
      </c>
      <c r="B61" s="8" t="str">
        <f>TEXT(SalesData[[#This Row],[Date]],"mmm")</f>
        <v>Mar</v>
      </c>
      <c r="C61" s="1" t="s">
        <v>120</v>
      </c>
      <c r="D61" t="s">
        <v>64</v>
      </c>
      <c r="E61" t="s">
        <v>58</v>
      </c>
      <c r="F61" t="s">
        <v>15</v>
      </c>
      <c r="G61" t="s">
        <v>82</v>
      </c>
      <c r="H61" t="s">
        <v>17</v>
      </c>
      <c r="I61">
        <v>4</v>
      </c>
      <c r="J61" s="14">
        <v>15493</v>
      </c>
      <c r="K61" s="6">
        <v>0.05</v>
      </c>
      <c r="L61" t="s">
        <v>73</v>
      </c>
      <c r="M61" s="14">
        <f t="shared" si="0"/>
        <v>58873.399999999994</v>
      </c>
      <c r="N61" s="14">
        <f t="shared" si="1"/>
        <v>41211.37999999999</v>
      </c>
      <c r="O61" s="14">
        <f t="shared" si="2"/>
        <v>17662.020000000004</v>
      </c>
    </row>
    <row r="62" spans="1:15" x14ac:dyDescent="0.3">
      <c r="A62" s="8">
        <v>46083</v>
      </c>
      <c r="B62" s="8" t="str">
        <f>TEXT(SalesData[[#This Row],[Date]],"mmm")</f>
        <v>Mar</v>
      </c>
      <c r="C62" s="1" t="s">
        <v>121</v>
      </c>
      <c r="D62" t="s">
        <v>75</v>
      </c>
      <c r="E62" t="s">
        <v>80</v>
      </c>
      <c r="F62" t="s">
        <v>57</v>
      </c>
      <c r="G62" t="s">
        <v>82</v>
      </c>
      <c r="H62" t="s">
        <v>17</v>
      </c>
      <c r="I62">
        <v>8</v>
      </c>
      <c r="J62" s="14">
        <v>14882</v>
      </c>
      <c r="K62" s="6">
        <v>0.08</v>
      </c>
      <c r="L62" t="s">
        <v>77</v>
      </c>
      <c r="M62" s="14">
        <f t="shared" si="0"/>
        <v>109531.52</v>
      </c>
      <c r="N62" s="14">
        <f t="shared" si="1"/>
        <v>76672.063999999998</v>
      </c>
      <c r="O62" s="14">
        <f t="shared" si="2"/>
        <v>32859.456000000006</v>
      </c>
    </row>
    <row r="63" spans="1:15" x14ac:dyDescent="0.3">
      <c r="A63" s="8">
        <v>46084</v>
      </c>
      <c r="B63" s="8" t="str">
        <f>TEXT(SalesData[[#This Row],[Date]],"mmm")</f>
        <v>Mar</v>
      </c>
      <c r="C63" s="1" t="s">
        <v>122</v>
      </c>
      <c r="D63" t="s">
        <v>78</v>
      </c>
      <c r="E63" t="s">
        <v>65</v>
      </c>
      <c r="F63" t="s">
        <v>15</v>
      </c>
      <c r="G63" t="s">
        <v>66</v>
      </c>
      <c r="H63" t="s">
        <v>62</v>
      </c>
      <c r="I63">
        <v>10</v>
      </c>
      <c r="J63" s="14">
        <v>1549</v>
      </c>
      <c r="K63" s="6">
        <v>0.15</v>
      </c>
      <c r="L63" t="s">
        <v>73</v>
      </c>
      <c r="M63" s="14">
        <f t="shared" si="0"/>
        <v>13166.5</v>
      </c>
      <c r="N63" s="14">
        <f t="shared" si="1"/>
        <v>9216.5499999999993</v>
      </c>
      <c r="O63" s="14">
        <f t="shared" si="2"/>
        <v>3949.9500000000007</v>
      </c>
    </row>
    <row r="64" spans="1:15" x14ac:dyDescent="0.3">
      <c r="A64" s="8">
        <v>46085</v>
      </c>
      <c r="B64" s="8" t="str">
        <f>TEXT(SalesData[[#This Row],[Date]],"mmm")</f>
        <v>Mar</v>
      </c>
      <c r="C64" s="1" t="s">
        <v>123</v>
      </c>
      <c r="D64" t="s">
        <v>78</v>
      </c>
      <c r="E64" t="s">
        <v>79</v>
      </c>
      <c r="F64" t="s">
        <v>56</v>
      </c>
      <c r="G64" t="s">
        <v>66</v>
      </c>
      <c r="H64" t="s">
        <v>62</v>
      </c>
      <c r="I64">
        <v>3</v>
      </c>
      <c r="J64" s="14">
        <v>1200</v>
      </c>
      <c r="K64" s="6">
        <v>0.12</v>
      </c>
      <c r="L64" t="s">
        <v>77</v>
      </c>
      <c r="M64" s="14">
        <f t="shared" si="0"/>
        <v>3168</v>
      </c>
      <c r="N64" s="14">
        <f t="shared" si="1"/>
        <v>2217.6</v>
      </c>
      <c r="O64" s="14">
        <f t="shared" si="2"/>
        <v>950.40000000000009</v>
      </c>
    </row>
    <row r="65" spans="1:15" x14ac:dyDescent="0.3">
      <c r="A65" s="8">
        <v>46086</v>
      </c>
      <c r="B65" s="8" t="str">
        <f>TEXT(SalesData[[#This Row],[Date]],"mmm")</f>
        <v>Mar</v>
      </c>
      <c r="C65" s="1" t="s">
        <v>124</v>
      </c>
      <c r="D65" t="s">
        <v>81</v>
      </c>
      <c r="E65" t="s">
        <v>60</v>
      </c>
      <c r="F65" t="s">
        <v>22</v>
      </c>
      <c r="G65" t="s">
        <v>16</v>
      </c>
      <c r="H65" t="s">
        <v>17</v>
      </c>
      <c r="I65">
        <v>7</v>
      </c>
      <c r="J65" s="14">
        <v>55369</v>
      </c>
      <c r="K65" s="6">
        <v>0.08</v>
      </c>
      <c r="L65" t="s">
        <v>67</v>
      </c>
      <c r="M65" s="14">
        <f t="shared" si="0"/>
        <v>356576.36000000004</v>
      </c>
      <c r="N65" s="14">
        <f t="shared" si="1"/>
        <v>249603.45200000002</v>
      </c>
      <c r="O65" s="14">
        <f t="shared" si="2"/>
        <v>106972.90800000002</v>
      </c>
    </row>
    <row r="66" spans="1:15" x14ac:dyDescent="0.3">
      <c r="A66" s="8">
        <v>46087</v>
      </c>
      <c r="B66" s="8" t="str">
        <f>TEXT(SalesData[[#This Row],[Date]],"mmm")</f>
        <v>Mar</v>
      </c>
      <c r="C66" s="1" t="s">
        <v>125</v>
      </c>
      <c r="D66" t="s">
        <v>71</v>
      </c>
      <c r="E66" t="s">
        <v>88</v>
      </c>
      <c r="F66" t="s">
        <v>89</v>
      </c>
      <c r="G66" t="s">
        <v>69</v>
      </c>
      <c r="H66" t="s">
        <v>70</v>
      </c>
      <c r="I66">
        <v>10</v>
      </c>
      <c r="J66" s="14">
        <v>14184</v>
      </c>
      <c r="K66" s="6">
        <v>0.1</v>
      </c>
      <c r="L66" t="s">
        <v>63</v>
      </c>
      <c r="M66" s="14">
        <f t="shared" si="0"/>
        <v>127656</v>
      </c>
      <c r="N66" s="14">
        <f t="shared" si="1"/>
        <v>89359.2</v>
      </c>
      <c r="O66" s="14">
        <f t="shared" si="2"/>
        <v>38296.800000000003</v>
      </c>
    </row>
    <row r="67" spans="1:15" x14ac:dyDescent="0.3">
      <c r="A67" s="8">
        <v>46088</v>
      </c>
      <c r="B67" s="8" t="str">
        <f>TEXT(SalesData[[#This Row],[Date]],"mmm")</f>
        <v>Mar</v>
      </c>
      <c r="C67" s="1" t="s">
        <v>126</v>
      </c>
      <c r="D67" t="s">
        <v>71</v>
      </c>
      <c r="E67" t="s">
        <v>79</v>
      </c>
      <c r="F67" t="s">
        <v>56</v>
      </c>
      <c r="G67" t="s">
        <v>61</v>
      </c>
      <c r="H67" t="s">
        <v>62</v>
      </c>
      <c r="I67">
        <v>9</v>
      </c>
      <c r="J67" s="14">
        <v>2725</v>
      </c>
      <c r="K67" s="6">
        <v>0.05</v>
      </c>
      <c r="L67" t="s">
        <v>73</v>
      </c>
      <c r="M67" s="14">
        <f t="shared" si="0"/>
        <v>23298.75</v>
      </c>
      <c r="N67" s="14">
        <f t="shared" si="1"/>
        <v>16309.124999999998</v>
      </c>
      <c r="O67" s="14">
        <f t="shared" si="2"/>
        <v>6989.6250000000018</v>
      </c>
    </row>
    <row r="68" spans="1:15" x14ac:dyDescent="0.3">
      <c r="A68" s="8">
        <v>46089</v>
      </c>
      <c r="B68" s="8" t="str">
        <f>TEXT(SalesData[[#This Row],[Date]],"mmm")</f>
        <v>Mar</v>
      </c>
      <c r="C68" s="1" t="s">
        <v>127</v>
      </c>
      <c r="D68" t="s">
        <v>85</v>
      </c>
      <c r="E68" t="s">
        <v>87</v>
      </c>
      <c r="F68" t="s">
        <v>57</v>
      </c>
      <c r="G68" t="s">
        <v>23</v>
      </c>
      <c r="H68" t="s">
        <v>24</v>
      </c>
      <c r="I68">
        <v>8</v>
      </c>
      <c r="J68" s="14">
        <v>12165</v>
      </c>
      <c r="K68" s="6">
        <v>0.05</v>
      </c>
      <c r="L68" t="s">
        <v>73</v>
      </c>
      <c r="M68" s="14">
        <f t="shared" ref="M68:M103" si="3">I68*J68*(1-K68)</f>
        <v>92454</v>
      </c>
      <c r="N68" s="14">
        <f t="shared" ref="N68:N103" si="4">M68*70%</f>
        <v>64717.799999999996</v>
      </c>
      <c r="O68" s="14">
        <f t="shared" ref="O68:O103" si="5">M68-N68</f>
        <v>27736.200000000004</v>
      </c>
    </row>
    <row r="69" spans="1:15" x14ac:dyDescent="0.3">
      <c r="A69" s="8">
        <v>46090</v>
      </c>
      <c r="B69" s="8" t="str">
        <f>TEXT(SalesData[[#This Row],[Date]],"mmm")</f>
        <v>Mar</v>
      </c>
      <c r="C69" s="1" t="s">
        <v>128</v>
      </c>
      <c r="D69" t="s">
        <v>90</v>
      </c>
      <c r="E69" t="s">
        <v>65</v>
      </c>
      <c r="F69" t="s">
        <v>15</v>
      </c>
      <c r="G69" t="s">
        <v>69</v>
      </c>
      <c r="H69" t="s">
        <v>70</v>
      </c>
      <c r="I69">
        <v>4</v>
      </c>
      <c r="J69" s="14">
        <v>13689</v>
      </c>
      <c r="K69" s="6">
        <v>0.08</v>
      </c>
      <c r="L69" t="s">
        <v>73</v>
      </c>
      <c r="M69" s="14">
        <f t="shared" si="3"/>
        <v>50375.520000000004</v>
      </c>
      <c r="N69" s="14">
        <f t="shared" si="4"/>
        <v>35262.864000000001</v>
      </c>
      <c r="O69" s="14">
        <f t="shared" si="5"/>
        <v>15112.656000000003</v>
      </c>
    </row>
    <row r="70" spans="1:15" x14ac:dyDescent="0.3">
      <c r="A70" s="8">
        <v>46091</v>
      </c>
      <c r="B70" s="8" t="str">
        <f>TEXT(SalesData[[#This Row],[Date]],"mmm")</f>
        <v>Mar</v>
      </c>
      <c r="C70" s="1" t="s">
        <v>129</v>
      </c>
      <c r="D70" t="s">
        <v>71</v>
      </c>
      <c r="E70" t="s">
        <v>80</v>
      </c>
      <c r="F70" t="s">
        <v>57</v>
      </c>
      <c r="G70" t="s">
        <v>16</v>
      </c>
      <c r="H70" t="s">
        <v>17</v>
      </c>
      <c r="I70">
        <v>8</v>
      </c>
      <c r="J70" s="14">
        <v>54800</v>
      </c>
      <c r="K70" s="6">
        <v>0</v>
      </c>
      <c r="L70" t="s">
        <v>63</v>
      </c>
      <c r="M70" s="14">
        <f t="shared" si="3"/>
        <v>438400</v>
      </c>
      <c r="N70" s="14">
        <f t="shared" si="4"/>
        <v>306880</v>
      </c>
      <c r="O70" s="14">
        <f t="shared" si="5"/>
        <v>131520</v>
      </c>
    </row>
    <row r="71" spans="1:15" x14ac:dyDescent="0.3">
      <c r="A71" s="8">
        <v>46092</v>
      </c>
      <c r="B71" s="8" t="str">
        <f>TEXT(SalesData[[#This Row],[Date]],"mmm")</f>
        <v>Mar</v>
      </c>
      <c r="C71" s="1" t="s">
        <v>130</v>
      </c>
      <c r="D71" t="s">
        <v>84</v>
      </c>
      <c r="E71" t="s">
        <v>58</v>
      </c>
      <c r="F71" t="s">
        <v>15</v>
      </c>
      <c r="G71" t="s">
        <v>16</v>
      </c>
      <c r="H71" t="s">
        <v>17</v>
      </c>
      <c r="I71">
        <v>10</v>
      </c>
      <c r="J71" s="14">
        <v>54904</v>
      </c>
      <c r="K71" s="6">
        <v>0.08</v>
      </c>
      <c r="L71" t="s">
        <v>73</v>
      </c>
      <c r="M71" s="14">
        <f t="shared" si="3"/>
        <v>505116.80000000005</v>
      </c>
      <c r="N71" s="14">
        <f t="shared" si="4"/>
        <v>353581.76</v>
      </c>
      <c r="O71" s="14">
        <f t="shared" si="5"/>
        <v>151535.04000000004</v>
      </c>
    </row>
    <row r="72" spans="1:15" x14ac:dyDescent="0.3">
      <c r="A72" s="8">
        <v>46093</v>
      </c>
      <c r="B72" s="8" t="str">
        <f>TEXT(SalesData[[#This Row],[Date]],"mmm")</f>
        <v>Mar</v>
      </c>
      <c r="C72" s="1" t="s">
        <v>131</v>
      </c>
      <c r="D72" t="s">
        <v>59</v>
      </c>
      <c r="E72" t="s">
        <v>58</v>
      </c>
      <c r="F72" t="s">
        <v>15</v>
      </c>
      <c r="G72" t="s">
        <v>69</v>
      </c>
      <c r="H72" t="s">
        <v>70</v>
      </c>
      <c r="I72">
        <v>7</v>
      </c>
      <c r="J72" s="14">
        <v>14103</v>
      </c>
      <c r="K72" s="6">
        <v>0.12</v>
      </c>
      <c r="L72" t="s">
        <v>77</v>
      </c>
      <c r="M72" s="14">
        <f t="shared" si="3"/>
        <v>86874.48</v>
      </c>
      <c r="N72" s="14">
        <f t="shared" si="4"/>
        <v>60812.135999999991</v>
      </c>
      <c r="O72" s="14">
        <f t="shared" si="5"/>
        <v>26062.344000000005</v>
      </c>
    </row>
    <row r="73" spans="1:15" x14ac:dyDescent="0.3">
      <c r="A73" s="8">
        <v>46094</v>
      </c>
      <c r="B73" s="8" t="str">
        <f>TEXT(SalesData[[#This Row],[Date]],"mmm")</f>
        <v>Mar</v>
      </c>
      <c r="C73" s="1" t="s">
        <v>132</v>
      </c>
      <c r="D73" t="s">
        <v>78</v>
      </c>
      <c r="E73" t="s">
        <v>79</v>
      </c>
      <c r="F73" t="s">
        <v>56</v>
      </c>
      <c r="G73" t="s">
        <v>16</v>
      </c>
      <c r="H73" t="s">
        <v>17</v>
      </c>
      <c r="I73">
        <v>3</v>
      </c>
      <c r="J73" s="14">
        <v>54925</v>
      </c>
      <c r="K73" s="6">
        <v>0.08</v>
      </c>
      <c r="L73" t="s">
        <v>67</v>
      </c>
      <c r="M73" s="14">
        <f t="shared" si="3"/>
        <v>151593</v>
      </c>
      <c r="N73" s="14">
        <f t="shared" si="4"/>
        <v>106115.09999999999</v>
      </c>
      <c r="O73" s="14">
        <f t="shared" si="5"/>
        <v>45477.900000000009</v>
      </c>
    </row>
    <row r="74" spans="1:15" x14ac:dyDescent="0.3">
      <c r="A74" s="8">
        <v>46095</v>
      </c>
      <c r="B74" s="8" t="str">
        <f>TEXT(SalesData[[#This Row],[Date]],"mmm")</f>
        <v>Mar</v>
      </c>
      <c r="C74" s="1" t="s">
        <v>133</v>
      </c>
      <c r="D74" t="s">
        <v>74</v>
      </c>
      <c r="E74" t="s">
        <v>88</v>
      </c>
      <c r="F74" t="s">
        <v>89</v>
      </c>
      <c r="G74" t="s">
        <v>76</v>
      </c>
      <c r="H74" t="s">
        <v>62</v>
      </c>
      <c r="I74">
        <v>1</v>
      </c>
      <c r="J74" s="14">
        <v>1250</v>
      </c>
      <c r="K74" s="6">
        <v>0</v>
      </c>
      <c r="L74" t="s">
        <v>67</v>
      </c>
      <c r="M74" s="14">
        <f t="shared" si="3"/>
        <v>1250</v>
      </c>
      <c r="N74" s="14">
        <f t="shared" si="4"/>
        <v>875</v>
      </c>
      <c r="O74" s="14">
        <f t="shared" si="5"/>
        <v>375</v>
      </c>
    </row>
    <row r="75" spans="1:15" x14ac:dyDescent="0.3">
      <c r="A75" s="8">
        <v>46096</v>
      </c>
      <c r="B75" s="8" t="str">
        <f>TEXT(SalesData[[#This Row],[Date]],"mmm")</f>
        <v>Mar</v>
      </c>
      <c r="C75" s="1" t="s">
        <v>134</v>
      </c>
      <c r="D75" t="s">
        <v>74</v>
      </c>
      <c r="E75" t="s">
        <v>86</v>
      </c>
      <c r="F75" t="s">
        <v>57</v>
      </c>
      <c r="G75" t="s">
        <v>76</v>
      </c>
      <c r="H75" t="s">
        <v>62</v>
      </c>
      <c r="I75">
        <v>1</v>
      </c>
      <c r="J75" s="14">
        <v>943</v>
      </c>
      <c r="K75" s="6">
        <v>0</v>
      </c>
      <c r="L75" t="s">
        <v>73</v>
      </c>
      <c r="M75" s="14">
        <f t="shared" si="3"/>
        <v>943</v>
      </c>
      <c r="N75" s="14">
        <f t="shared" si="4"/>
        <v>660.09999999999991</v>
      </c>
      <c r="O75" s="14">
        <f t="shared" si="5"/>
        <v>282.90000000000009</v>
      </c>
    </row>
    <row r="76" spans="1:15" x14ac:dyDescent="0.3">
      <c r="A76" s="8">
        <v>46097</v>
      </c>
      <c r="B76" s="8" t="str">
        <f>TEXT(SalesData[[#This Row],[Date]],"mmm")</f>
        <v>Mar</v>
      </c>
      <c r="C76" s="1" t="s">
        <v>135</v>
      </c>
      <c r="D76" t="s">
        <v>84</v>
      </c>
      <c r="E76" t="s">
        <v>58</v>
      </c>
      <c r="F76" t="s">
        <v>15</v>
      </c>
      <c r="G76" t="s">
        <v>23</v>
      </c>
      <c r="H76" t="s">
        <v>24</v>
      </c>
      <c r="I76">
        <v>4</v>
      </c>
      <c r="J76" s="14">
        <v>11710</v>
      </c>
      <c r="K76" s="6">
        <v>0</v>
      </c>
      <c r="L76" t="s">
        <v>73</v>
      </c>
      <c r="M76" s="14">
        <f t="shared" si="3"/>
        <v>46840</v>
      </c>
      <c r="N76" s="14">
        <f t="shared" si="4"/>
        <v>32788</v>
      </c>
      <c r="O76" s="14">
        <f t="shared" si="5"/>
        <v>14052</v>
      </c>
    </row>
    <row r="77" spans="1:15" x14ac:dyDescent="0.3">
      <c r="A77" s="8">
        <v>46098</v>
      </c>
      <c r="B77" s="8" t="str">
        <f>TEXT(SalesData[[#This Row],[Date]],"mmm")</f>
        <v>Mar</v>
      </c>
      <c r="C77" s="1" t="s">
        <v>136</v>
      </c>
      <c r="D77" t="s">
        <v>71</v>
      </c>
      <c r="E77" t="s">
        <v>88</v>
      </c>
      <c r="F77" t="s">
        <v>89</v>
      </c>
      <c r="G77" t="s">
        <v>61</v>
      </c>
      <c r="H77" t="s">
        <v>62</v>
      </c>
      <c r="I77">
        <v>5</v>
      </c>
      <c r="J77" s="14">
        <v>2970</v>
      </c>
      <c r="K77" s="6">
        <v>0.15</v>
      </c>
      <c r="L77" t="s">
        <v>63</v>
      </c>
      <c r="M77" s="14">
        <f t="shared" si="3"/>
        <v>12622.5</v>
      </c>
      <c r="N77" s="14">
        <f t="shared" si="4"/>
        <v>8835.75</v>
      </c>
      <c r="O77" s="14">
        <f t="shared" si="5"/>
        <v>3786.75</v>
      </c>
    </row>
    <row r="78" spans="1:15" x14ac:dyDescent="0.3">
      <c r="A78" s="8">
        <v>46099</v>
      </c>
      <c r="B78" s="8" t="str">
        <f>TEXT(SalesData[[#This Row],[Date]],"mmm")</f>
        <v>Mar</v>
      </c>
      <c r="C78" s="1" t="s">
        <v>137</v>
      </c>
      <c r="D78" t="s">
        <v>71</v>
      </c>
      <c r="E78" t="s">
        <v>80</v>
      </c>
      <c r="F78" t="s">
        <v>57</v>
      </c>
      <c r="G78" t="s">
        <v>66</v>
      </c>
      <c r="H78" t="s">
        <v>62</v>
      </c>
      <c r="I78">
        <v>4</v>
      </c>
      <c r="J78" s="14">
        <v>733</v>
      </c>
      <c r="K78" s="6">
        <v>0</v>
      </c>
      <c r="L78" t="s">
        <v>67</v>
      </c>
      <c r="M78" s="14">
        <f t="shared" si="3"/>
        <v>2932</v>
      </c>
      <c r="N78" s="14">
        <f t="shared" si="4"/>
        <v>2052.4</v>
      </c>
      <c r="O78" s="14">
        <f t="shared" si="5"/>
        <v>879.59999999999991</v>
      </c>
    </row>
    <row r="79" spans="1:15" x14ac:dyDescent="0.3">
      <c r="A79" s="8">
        <v>46100</v>
      </c>
      <c r="B79" s="8" t="str">
        <f>TEXT(SalesData[[#This Row],[Date]],"mmm")</f>
        <v>Mar</v>
      </c>
      <c r="C79" s="1" t="s">
        <v>138</v>
      </c>
      <c r="D79" t="s">
        <v>74</v>
      </c>
      <c r="E79" t="s">
        <v>58</v>
      </c>
      <c r="F79" t="s">
        <v>15</v>
      </c>
      <c r="G79" t="s">
        <v>66</v>
      </c>
      <c r="H79" t="s">
        <v>62</v>
      </c>
      <c r="I79">
        <v>7</v>
      </c>
      <c r="J79" s="14">
        <v>1388</v>
      </c>
      <c r="K79" s="6">
        <v>0.08</v>
      </c>
      <c r="L79" t="s">
        <v>73</v>
      </c>
      <c r="M79" s="14">
        <f t="shared" si="3"/>
        <v>8938.7200000000012</v>
      </c>
      <c r="N79" s="14">
        <f t="shared" si="4"/>
        <v>6257.1040000000003</v>
      </c>
      <c r="O79" s="14">
        <f t="shared" si="5"/>
        <v>2681.6160000000009</v>
      </c>
    </row>
    <row r="80" spans="1:15" x14ac:dyDescent="0.3">
      <c r="A80" s="8">
        <v>46101</v>
      </c>
      <c r="B80" s="8" t="str">
        <f>TEXT(SalesData[[#This Row],[Date]],"mmm")</f>
        <v>Mar</v>
      </c>
      <c r="C80" s="1" t="s">
        <v>139</v>
      </c>
      <c r="D80" t="s">
        <v>83</v>
      </c>
      <c r="E80" t="s">
        <v>80</v>
      </c>
      <c r="F80" t="s">
        <v>57</v>
      </c>
      <c r="G80" t="s">
        <v>16</v>
      </c>
      <c r="H80" t="s">
        <v>17</v>
      </c>
      <c r="I80">
        <v>8</v>
      </c>
      <c r="J80" s="14">
        <v>54974</v>
      </c>
      <c r="K80" s="6">
        <v>0.12</v>
      </c>
      <c r="L80" t="s">
        <v>73</v>
      </c>
      <c r="M80" s="14">
        <f t="shared" si="3"/>
        <v>387016.96000000002</v>
      </c>
      <c r="N80" s="14">
        <f t="shared" si="4"/>
        <v>270911.87199999997</v>
      </c>
      <c r="O80" s="14">
        <f t="shared" si="5"/>
        <v>116105.08800000005</v>
      </c>
    </row>
    <row r="81" spans="1:15" x14ac:dyDescent="0.3">
      <c r="A81" s="8">
        <v>46102</v>
      </c>
      <c r="B81" s="8" t="str">
        <f>TEXT(SalesData[[#This Row],[Date]],"mmm")</f>
        <v>Mar</v>
      </c>
      <c r="C81" s="1" t="s">
        <v>140</v>
      </c>
      <c r="D81" t="s">
        <v>83</v>
      </c>
      <c r="E81" t="s">
        <v>60</v>
      </c>
      <c r="F81" t="s">
        <v>22</v>
      </c>
      <c r="G81" t="s">
        <v>82</v>
      </c>
      <c r="H81" t="s">
        <v>17</v>
      </c>
      <c r="I81">
        <v>3</v>
      </c>
      <c r="J81" s="14">
        <v>15231</v>
      </c>
      <c r="K81" s="6">
        <v>0.1</v>
      </c>
      <c r="L81" t="s">
        <v>73</v>
      </c>
      <c r="M81" s="14">
        <f t="shared" si="3"/>
        <v>41123.700000000004</v>
      </c>
      <c r="N81" s="14">
        <f t="shared" si="4"/>
        <v>28786.59</v>
      </c>
      <c r="O81" s="14">
        <f t="shared" si="5"/>
        <v>12337.110000000004</v>
      </c>
    </row>
    <row r="82" spans="1:15" x14ac:dyDescent="0.3">
      <c r="A82" s="8">
        <v>46103</v>
      </c>
      <c r="B82" s="8" t="str">
        <f>TEXT(SalesData[[#This Row],[Date]],"mmm")</f>
        <v>Mar</v>
      </c>
      <c r="C82" s="1" t="s">
        <v>141</v>
      </c>
      <c r="D82" t="s">
        <v>85</v>
      </c>
      <c r="E82" t="s">
        <v>86</v>
      </c>
      <c r="F82" t="s">
        <v>57</v>
      </c>
      <c r="G82" t="s">
        <v>16</v>
      </c>
      <c r="H82" t="s">
        <v>17</v>
      </c>
      <c r="I82">
        <v>5</v>
      </c>
      <c r="J82" s="14">
        <v>54851</v>
      </c>
      <c r="K82" s="6">
        <v>0.15</v>
      </c>
      <c r="L82" t="s">
        <v>73</v>
      </c>
      <c r="M82" s="14">
        <f t="shared" si="3"/>
        <v>233116.75</v>
      </c>
      <c r="N82" s="14">
        <f t="shared" si="4"/>
        <v>163181.72499999998</v>
      </c>
      <c r="O82" s="14">
        <f t="shared" si="5"/>
        <v>69935.025000000023</v>
      </c>
    </row>
    <row r="83" spans="1:15" x14ac:dyDescent="0.3">
      <c r="A83" s="8">
        <v>46104</v>
      </c>
      <c r="B83" s="8" t="str">
        <f>TEXT(SalesData[[#This Row],[Date]],"mmm")</f>
        <v>Mar</v>
      </c>
      <c r="C83" s="1" t="s">
        <v>142</v>
      </c>
      <c r="D83" t="s">
        <v>75</v>
      </c>
      <c r="E83" t="s">
        <v>21</v>
      </c>
      <c r="F83" t="s">
        <v>22</v>
      </c>
      <c r="G83" t="s">
        <v>82</v>
      </c>
      <c r="H83" t="s">
        <v>17</v>
      </c>
      <c r="I83">
        <v>2</v>
      </c>
      <c r="J83" s="14">
        <v>15110</v>
      </c>
      <c r="K83" s="6">
        <v>0.12</v>
      </c>
      <c r="L83" t="s">
        <v>73</v>
      </c>
      <c r="M83" s="14">
        <f t="shared" si="3"/>
        <v>26593.599999999999</v>
      </c>
      <c r="N83" s="14">
        <f t="shared" si="4"/>
        <v>18615.519999999997</v>
      </c>
      <c r="O83" s="14">
        <f t="shared" si="5"/>
        <v>7978.0800000000017</v>
      </c>
    </row>
    <row r="84" spans="1:15" x14ac:dyDescent="0.3">
      <c r="A84" s="8">
        <v>46105</v>
      </c>
      <c r="B84" s="8" t="str">
        <f>TEXT(SalesData[[#This Row],[Date]],"mmm")</f>
        <v>Mar</v>
      </c>
      <c r="C84" s="1" t="s">
        <v>143</v>
      </c>
      <c r="D84" t="s">
        <v>84</v>
      </c>
      <c r="E84" t="s">
        <v>58</v>
      </c>
      <c r="F84" t="s">
        <v>15</v>
      </c>
      <c r="G84" t="s">
        <v>69</v>
      </c>
      <c r="H84" t="s">
        <v>70</v>
      </c>
      <c r="I84">
        <v>9</v>
      </c>
      <c r="J84" s="14">
        <v>13540</v>
      </c>
      <c r="K84" s="6">
        <v>0</v>
      </c>
      <c r="L84" t="s">
        <v>77</v>
      </c>
      <c r="M84" s="14">
        <f t="shared" si="3"/>
        <v>121860</v>
      </c>
      <c r="N84" s="14">
        <f t="shared" si="4"/>
        <v>85302</v>
      </c>
      <c r="O84" s="14">
        <f t="shared" si="5"/>
        <v>36558</v>
      </c>
    </row>
    <row r="85" spans="1:15" x14ac:dyDescent="0.3">
      <c r="A85" s="8">
        <v>46106</v>
      </c>
      <c r="B85" s="8" t="str">
        <f>TEXT(SalesData[[#This Row],[Date]],"mmm")</f>
        <v>Mar</v>
      </c>
      <c r="C85" s="1" t="s">
        <v>144</v>
      </c>
      <c r="D85" t="s">
        <v>64</v>
      </c>
      <c r="E85" t="s">
        <v>60</v>
      </c>
      <c r="F85" t="s">
        <v>22</v>
      </c>
      <c r="G85" t="s">
        <v>69</v>
      </c>
      <c r="H85" t="s">
        <v>70</v>
      </c>
      <c r="I85">
        <v>9</v>
      </c>
      <c r="J85" s="14">
        <v>13551</v>
      </c>
      <c r="K85" s="6">
        <v>0.05</v>
      </c>
      <c r="L85" t="s">
        <v>67</v>
      </c>
      <c r="M85" s="14">
        <f t="shared" si="3"/>
        <v>115861.04999999999</v>
      </c>
      <c r="N85" s="14">
        <f t="shared" si="4"/>
        <v>81102.734999999986</v>
      </c>
      <c r="O85" s="14">
        <f t="shared" si="5"/>
        <v>34758.315000000002</v>
      </c>
    </row>
    <row r="86" spans="1:15" x14ac:dyDescent="0.3">
      <c r="A86" s="8">
        <v>46107</v>
      </c>
      <c r="B86" s="8" t="str">
        <f>TEXT(SalesData[[#This Row],[Date]],"mmm")</f>
        <v>Mar</v>
      </c>
      <c r="C86" s="1" t="s">
        <v>145</v>
      </c>
      <c r="D86" t="s">
        <v>75</v>
      </c>
      <c r="E86" t="s">
        <v>80</v>
      </c>
      <c r="F86" t="s">
        <v>57</v>
      </c>
      <c r="G86" t="s">
        <v>23</v>
      </c>
      <c r="H86" t="s">
        <v>24</v>
      </c>
      <c r="I86">
        <v>5</v>
      </c>
      <c r="J86" s="14">
        <v>12099</v>
      </c>
      <c r="K86" s="6">
        <v>0.1</v>
      </c>
      <c r="L86" t="s">
        <v>67</v>
      </c>
      <c r="M86" s="14">
        <f t="shared" si="3"/>
        <v>54445.5</v>
      </c>
      <c r="N86" s="14">
        <f t="shared" si="4"/>
        <v>38111.85</v>
      </c>
      <c r="O86" s="14">
        <f t="shared" si="5"/>
        <v>16333.650000000001</v>
      </c>
    </row>
    <row r="87" spans="1:15" x14ac:dyDescent="0.3">
      <c r="A87" s="8">
        <v>46108</v>
      </c>
      <c r="B87" s="8" t="str">
        <f>TEXT(SalesData[[#This Row],[Date]],"mmm")</f>
        <v>Mar</v>
      </c>
      <c r="C87" s="1" t="s">
        <v>146</v>
      </c>
      <c r="D87" t="s">
        <v>78</v>
      </c>
      <c r="E87" t="s">
        <v>87</v>
      </c>
      <c r="F87" t="s">
        <v>57</v>
      </c>
      <c r="G87" t="s">
        <v>72</v>
      </c>
      <c r="H87" t="s">
        <v>70</v>
      </c>
      <c r="I87">
        <v>2</v>
      </c>
      <c r="J87" s="14">
        <v>8089</v>
      </c>
      <c r="K87" s="6">
        <v>0</v>
      </c>
      <c r="L87" t="s">
        <v>67</v>
      </c>
      <c r="M87" s="14">
        <f t="shared" si="3"/>
        <v>16178</v>
      </c>
      <c r="N87" s="14">
        <f t="shared" si="4"/>
        <v>11324.599999999999</v>
      </c>
      <c r="O87" s="14">
        <f t="shared" si="5"/>
        <v>4853.4000000000015</v>
      </c>
    </row>
    <row r="88" spans="1:15" x14ac:dyDescent="0.3">
      <c r="A88" s="8">
        <v>46109</v>
      </c>
      <c r="B88" s="8" t="str">
        <f>TEXT(SalesData[[#This Row],[Date]],"mmm")</f>
        <v>Mar</v>
      </c>
      <c r="C88" s="1" t="s">
        <v>147</v>
      </c>
      <c r="D88" t="s">
        <v>74</v>
      </c>
      <c r="E88" t="s">
        <v>58</v>
      </c>
      <c r="F88" t="s">
        <v>15</v>
      </c>
      <c r="G88" t="s">
        <v>66</v>
      </c>
      <c r="H88" t="s">
        <v>62</v>
      </c>
      <c r="I88">
        <v>5</v>
      </c>
      <c r="J88" s="14">
        <v>719</v>
      </c>
      <c r="K88" s="6">
        <v>0.12</v>
      </c>
      <c r="L88" t="s">
        <v>77</v>
      </c>
      <c r="M88" s="14">
        <f t="shared" si="3"/>
        <v>3163.6</v>
      </c>
      <c r="N88" s="14">
        <f t="shared" si="4"/>
        <v>2214.52</v>
      </c>
      <c r="O88" s="14">
        <f t="shared" si="5"/>
        <v>949.07999999999993</v>
      </c>
    </row>
    <row r="89" spans="1:15" x14ac:dyDescent="0.3">
      <c r="A89" s="8">
        <v>46110</v>
      </c>
      <c r="B89" s="8" t="str">
        <f>TEXT(SalesData[[#This Row],[Date]],"mmm")</f>
        <v>Mar</v>
      </c>
      <c r="C89" s="1" t="s">
        <v>148</v>
      </c>
      <c r="D89" t="s">
        <v>90</v>
      </c>
      <c r="E89" t="s">
        <v>87</v>
      </c>
      <c r="F89" t="s">
        <v>57</v>
      </c>
      <c r="G89" t="s">
        <v>72</v>
      </c>
      <c r="H89" t="s">
        <v>70</v>
      </c>
      <c r="I89">
        <v>3</v>
      </c>
      <c r="J89" s="14">
        <v>8233</v>
      </c>
      <c r="K89" s="6">
        <v>0.15</v>
      </c>
      <c r="L89" t="s">
        <v>77</v>
      </c>
      <c r="M89" s="14">
        <f t="shared" si="3"/>
        <v>20994.149999999998</v>
      </c>
      <c r="N89" s="14">
        <f t="shared" si="4"/>
        <v>14695.904999999997</v>
      </c>
      <c r="O89" s="14">
        <f t="shared" si="5"/>
        <v>6298.2450000000008</v>
      </c>
    </row>
    <row r="90" spans="1:15" x14ac:dyDescent="0.3">
      <c r="A90" s="8">
        <v>46111</v>
      </c>
      <c r="B90" s="8" t="str">
        <f>TEXT(SalesData[[#This Row],[Date]],"mmm")</f>
        <v>Mar</v>
      </c>
      <c r="C90" s="1" t="s">
        <v>149</v>
      </c>
      <c r="D90" t="s">
        <v>68</v>
      </c>
      <c r="E90" t="s">
        <v>21</v>
      </c>
      <c r="F90" t="s">
        <v>22</v>
      </c>
      <c r="G90" t="s">
        <v>23</v>
      </c>
      <c r="H90" t="s">
        <v>24</v>
      </c>
      <c r="I90">
        <v>5</v>
      </c>
      <c r="J90" s="14">
        <v>11899</v>
      </c>
      <c r="K90" s="6">
        <v>0.12</v>
      </c>
      <c r="L90" t="s">
        <v>67</v>
      </c>
      <c r="M90" s="14">
        <f t="shared" si="3"/>
        <v>52355.6</v>
      </c>
      <c r="N90" s="14">
        <f t="shared" si="4"/>
        <v>36648.92</v>
      </c>
      <c r="O90" s="14">
        <f t="shared" si="5"/>
        <v>15706.68</v>
      </c>
    </row>
    <row r="91" spans="1:15" x14ac:dyDescent="0.3">
      <c r="A91" s="8">
        <v>46112</v>
      </c>
      <c r="B91" s="8" t="str">
        <f>TEXT(SalesData[[#This Row],[Date]],"mmm")</f>
        <v>Mar</v>
      </c>
      <c r="C91" s="1" t="s">
        <v>150</v>
      </c>
      <c r="D91" t="s">
        <v>85</v>
      </c>
      <c r="E91" t="s">
        <v>86</v>
      </c>
      <c r="F91" t="s">
        <v>57</v>
      </c>
      <c r="G91" t="s">
        <v>82</v>
      </c>
      <c r="H91" t="s">
        <v>17</v>
      </c>
      <c r="I91">
        <v>5</v>
      </c>
      <c r="J91" s="14">
        <v>15441</v>
      </c>
      <c r="K91" s="6">
        <v>0.08</v>
      </c>
      <c r="L91" t="s">
        <v>77</v>
      </c>
      <c r="M91" s="14">
        <f t="shared" si="3"/>
        <v>71028.600000000006</v>
      </c>
      <c r="N91" s="14">
        <f t="shared" si="4"/>
        <v>49720.020000000004</v>
      </c>
      <c r="O91" s="14">
        <f t="shared" si="5"/>
        <v>21308.58</v>
      </c>
    </row>
    <row r="92" spans="1:15" x14ac:dyDescent="0.3">
      <c r="A92" s="8">
        <v>46113</v>
      </c>
      <c r="B92" s="8" t="str">
        <f>TEXT(SalesData[[#This Row],[Date]],"mmm")</f>
        <v>Apr</v>
      </c>
      <c r="C92" s="1" t="s">
        <v>151</v>
      </c>
      <c r="D92" t="s">
        <v>71</v>
      </c>
      <c r="E92" t="s">
        <v>87</v>
      </c>
      <c r="F92" t="s">
        <v>57</v>
      </c>
      <c r="G92" t="s">
        <v>69</v>
      </c>
      <c r="H92" t="s">
        <v>70</v>
      </c>
      <c r="I92">
        <v>8</v>
      </c>
      <c r="J92" s="14">
        <v>13874</v>
      </c>
      <c r="K92" s="6">
        <v>0.15</v>
      </c>
      <c r="L92" t="s">
        <v>77</v>
      </c>
      <c r="M92" s="14">
        <f t="shared" si="3"/>
        <v>94343.2</v>
      </c>
      <c r="N92" s="14">
        <f t="shared" si="4"/>
        <v>66040.239999999991</v>
      </c>
      <c r="O92" s="14">
        <f t="shared" si="5"/>
        <v>28302.960000000006</v>
      </c>
    </row>
    <row r="93" spans="1:15" x14ac:dyDescent="0.3">
      <c r="A93" s="8">
        <v>46114</v>
      </c>
      <c r="B93" s="8" t="str">
        <f>TEXT(SalesData[[#This Row],[Date]],"mmm")</f>
        <v>Apr</v>
      </c>
      <c r="C93" s="1" t="s">
        <v>152</v>
      </c>
      <c r="D93" t="s">
        <v>75</v>
      </c>
      <c r="E93" t="s">
        <v>80</v>
      </c>
      <c r="F93" t="s">
        <v>57</v>
      </c>
      <c r="G93" t="s">
        <v>66</v>
      </c>
      <c r="H93" t="s">
        <v>62</v>
      </c>
      <c r="I93">
        <v>6</v>
      </c>
      <c r="J93" s="14">
        <v>906</v>
      </c>
      <c r="K93" s="6">
        <v>0.08</v>
      </c>
      <c r="L93" t="s">
        <v>63</v>
      </c>
      <c r="M93" s="14">
        <f t="shared" si="3"/>
        <v>5001.12</v>
      </c>
      <c r="N93" s="14">
        <f t="shared" si="4"/>
        <v>3500.7839999999997</v>
      </c>
      <c r="O93" s="14">
        <f t="shared" si="5"/>
        <v>1500.3360000000002</v>
      </c>
    </row>
    <row r="94" spans="1:15" x14ac:dyDescent="0.3">
      <c r="A94" s="8">
        <v>46115</v>
      </c>
      <c r="B94" s="8" t="str">
        <f>TEXT(SalesData[[#This Row],[Date]],"mmm")</f>
        <v>Apr</v>
      </c>
      <c r="C94" s="1" t="s">
        <v>153</v>
      </c>
      <c r="D94" t="s">
        <v>90</v>
      </c>
      <c r="E94" t="s">
        <v>86</v>
      </c>
      <c r="F94" t="s">
        <v>57</v>
      </c>
      <c r="G94" t="s">
        <v>16</v>
      </c>
      <c r="H94" t="s">
        <v>17</v>
      </c>
      <c r="I94">
        <v>4</v>
      </c>
      <c r="J94" s="14">
        <v>55187</v>
      </c>
      <c r="K94" s="6">
        <v>0.1</v>
      </c>
      <c r="L94" t="s">
        <v>73</v>
      </c>
      <c r="M94" s="14">
        <f t="shared" si="3"/>
        <v>198673.2</v>
      </c>
      <c r="N94" s="14">
        <f t="shared" si="4"/>
        <v>139071.24</v>
      </c>
      <c r="O94" s="14">
        <f t="shared" si="5"/>
        <v>59601.960000000021</v>
      </c>
    </row>
    <row r="95" spans="1:15" x14ac:dyDescent="0.3">
      <c r="A95" s="8">
        <v>46116</v>
      </c>
      <c r="B95" s="8" t="str">
        <f>TEXT(SalesData[[#This Row],[Date]],"mmm")</f>
        <v>Apr</v>
      </c>
      <c r="C95" s="1" t="s">
        <v>154</v>
      </c>
      <c r="D95" t="s">
        <v>64</v>
      </c>
      <c r="E95" t="s">
        <v>79</v>
      </c>
      <c r="F95" t="s">
        <v>56</v>
      </c>
      <c r="G95" t="s">
        <v>23</v>
      </c>
      <c r="H95" t="s">
        <v>24</v>
      </c>
      <c r="I95">
        <v>9</v>
      </c>
      <c r="J95" s="14">
        <v>11721</v>
      </c>
      <c r="K95" s="6">
        <v>0.1</v>
      </c>
      <c r="L95" t="s">
        <v>63</v>
      </c>
      <c r="M95" s="14">
        <f t="shared" si="3"/>
        <v>94940.1</v>
      </c>
      <c r="N95" s="14">
        <f t="shared" si="4"/>
        <v>66458.070000000007</v>
      </c>
      <c r="O95" s="14">
        <f t="shared" si="5"/>
        <v>28482.03</v>
      </c>
    </row>
    <row r="96" spans="1:15" x14ac:dyDescent="0.3">
      <c r="A96" s="8">
        <v>46117</v>
      </c>
      <c r="B96" s="8" t="str">
        <f>TEXT(SalesData[[#This Row],[Date]],"mmm")</f>
        <v>Apr</v>
      </c>
      <c r="C96" s="1" t="s">
        <v>155</v>
      </c>
      <c r="D96" t="s">
        <v>84</v>
      </c>
      <c r="E96" t="s">
        <v>87</v>
      </c>
      <c r="F96" t="s">
        <v>57</v>
      </c>
      <c r="G96" t="s">
        <v>72</v>
      </c>
      <c r="H96" t="s">
        <v>70</v>
      </c>
      <c r="I96">
        <v>3</v>
      </c>
      <c r="J96" s="14">
        <v>8603</v>
      </c>
      <c r="K96" s="6">
        <v>0.12</v>
      </c>
      <c r="L96" t="s">
        <v>63</v>
      </c>
      <c r="M96" s="14">
        <f t="shared" si="3"/>
        <v>22711.920000000002</v>
      </c>
      <c r="N96" s="14">
        <f t="shared" si="4"/>
        <v>15898.344000000001</v>
      </c>
      <c r="O96" s="14">
        <f t="shared" si="5"/>
        <v>6813.5760000000009</v>
      </c>
    </row>
    <row r="97" spans="1:15" x14ac:dyDescent="0.3">
      <c r="A97" s="8">
        <v>46118</v>
      </c>
      <c r="B97" s="8" t="str">
        <f>TEXT(SalesData[[#This Row],[Date]],"mmm")</f>
        <v>Apr</v>
      </c>
      <c r="C97" s="1" t="s">
        <v>156</v>
      </c>
      <c r="D97" t="s">
        <v>71</v>
      </c>
      <c r="E97" t="s">
        <v>58</v>
      </c>
      <c r="F97" t="s">
        <v>15</v>
      </c>
      <c r="G97" t="s">
        <v>82</v>
      </c>
      <c r="H97" t="s">
        <v>17</v>
      </c>
      <c r="I97">
        <v>3</v>
      </c>
      <c r="J97" s="14">
        <v>14593</v>
      </c>
      <c r="K97" s="6">
        <v>0.15</v>
      </c>
      <c r="L97" t="s">
        <v>73</v>
      </c>
      <c r="M97" s="14">
        <f t="shared" si="3"/>
        <v>37212.15</v>
      </c>
      <c r="N97" s="14">
        <f t="shared" si="4"/>
        <v>26048.505000000001</v>
      </c>
      <c r="O97" s="14">
        <f t="shared" si="5"/>
        <v>11163.645</v>
      </c>
    </row>
    <row r="98" spans="1:15" x14ac:dyDescent="0.3">
      <c r="A98" s="8">
        <v>46119</v>
      </c>
      <c r="B98" s="8" t="str">
        <f>TEXT(SalesData[[#This Row],[Date]],"mmm")</f>
        <v>Apr</v>
      </c>
      <c r="C98" s="1" t="s">
        <v>157</v>
      </c>
      <c r="D98" t="s">
        <v>85</v>
      </c>
      <c r="E98" t="s">
        <v>79</v>
      </c>
      <c r="F98" t="s">
        <v>56</v>
      </c>
      <c r="G98" t="s">
        <v>72</v>
      </c>
      <c r="H98" t="s">
        <v>70</v>
      </c>
      <c r="I98">
        <v>4</v>
      </c>
      <c r="J98" s="14">
        <v>8705</v>
      </c>
      <c r="K98" s="6">
        <v>0</v>
      </c>
      <c r="L98" t="s">
        <v>63</v>
      </c>
      <c r="M98" s="14">
        <f t="shared" si="3"/>
        <v>34820</v>
      </c>
      <c r="N98" s="14">
        <f t="shared" si="4"/>
        <v>24374</v>
      </c>
      <c r="O98" s="14">
        <f t="shared" si="5"/>
        <v>10446</v>
      </c>
    </row>
    <row r="99" spans="1:15" x14ac:dyDescent="0.3">
      <c r="A99" s="8">
        <v>46120</v>
      </c>
      <c r="B99" s="8" t="str">
        <f>TEXT(SalesData[[#This Row],[Date]],"mmm")</f>
        <v>Apr</v>
      </c>
      <c r="C99" s="1" t="s">
        <v>158</v>
      </c>
      <c r="D99" t="s">
        <v>83</v>
      </c>
      <c r="E99" t="s">
        <v>80</v>
      </c>
      <c r="F99" t="s">
        <v>57</v>
      </c>
      <c r="G99" t="s">
        <v>76</v>
      </c>
      <c r="H99" t="s">
        <v>62</v>
      </c>
      <c r="I99">
        <v>2</v>
      </c>
      <c r="J99" s="14">
        <v>691</v>
      </c>
      <c r="K99" s="6">
        <v>0.15</v>
      </c>
      <c r="L99" t="s">
        <v>77</v>
      </c>
      <c r="M99" s="14">
        <f t="shared" si="3"/>
        <v>1174.7</v>
      </c>
      <c r="N99" s="14">
        <f t="shared" si="4"/>
        <v>822.29</v>
      </c>
      <c r="O99" s="14">
        <f t="shared" si="5"/>
        <v>352.41000000000008</v>
      </c>
    </row>
    <row r="100" spans="1:15" x14ac:dyDescent="0.3">
      <c r="A100" s="8">
        <v>46121</v>
      </c>
      <c r="B100" s="8" t="str">
        <f>TEXT(SalesData[[#This Row],[Date]],"mmm")</f>
        <v>Apr</v>
      </c>
      <c r="C100" s="1" t="s">
        <v>159</v>
      </c>
      <c r="D100" t="s">
        <v>64</v>
      </c>
      <c r="E100" t="s">
        <v>65</v>
      </c>
      <c r="F100" t="s">
        <v>15</v>
      </c>
      <c r="G100" t="s">
        <v>23</v>
      </c>
      <c r="H100" t="s">
        <v>24</v>
      </c>
      <c r="I100">
        <v>5</v>
      </c>
      <c r="J100" s="14">
        <v>11771</v>
      </c>
      <c r="K100" s="6">
        <v>0</v>
      </c>
      <c r="L100" t="s">
        <v>77</v>
      </c>
      <c r="M100" s="14">
        <f t="shared" si="3"/>
        <v>58855</v>
      </c>
      <c r="N100" s="14">
        <f t="shared" si="4"/>
        <v>41198.5</v>
      </c>
      <c r="O100" s="14">
        <f t="shared" si="5"/>
        <v>17656.5</v>
      </c>
    </row>
    <row r="101" spans="1:15" x14ac:dyDescent="0.3">
      <c r="A101" s="8">
        <v>46122</v>
      </c>
      <c r="B101" s="8" t="str">
        <f>TEXT(SalesData[[#This Row],[Date]],"mmm")</f>
        <v>Apr</v>
      </c>
      <c r="C101" s="1" t="s">
        <v>160</v>
      </c>
      <c r="D101" t="s">
        <v>84</v>
      </c>
      <c r="E101" t="s">
        <v>86</v>
      </c>
      <c r="F101" t="s">
        <v>57</v>
      </c>
      <c r="G101" t="s">
        <v>76</v>
      </c>
      <c r="H101" t="s">
        <v>62</v>
      </c>
      <c r="I101">
        <v>3</v>
      </c>
      <c r="J101" s="14">
        <v>341</v>
      </c>
      <c r="K101" s="6">
        <v>0.08</v>
      </c>
      <c r="L101" t="s">
        <v>77</v>
      </c>
      <c r="M101" s="14">
        <f t="shared" si="3"/>
        <v>941.16000000000008</v>
      </c>
      <c r="N101" s="14">
        <f t="shared" si="4"/>
        <v>658.81200000000001</v>
      </c>
      <c r="O101" s="14">
        <f t="shared" si="5"/>
        <v>282.34800000000007</v>
      </c>
    </row>
    <row r="102" spans="1:15" x14ac:dyDescent="0.3">
      <c r="A102" s="8">
        <v>46123</v>
      </c>
      <c r="B102" s="8" t="str">
        <f>TEXT(SalesData[[#This Row],[Date]],"mmm")</f>
        <v>Apr</v>
      </c>
      <c r="C102" s="1" t="s">
        <v>161</v>
      </c>
      <c r="D102" t="s">
        <v>81</v>
      </c>
      <c r="E102" t="s">
        <v>14</v>
      </c>
      <c r="F102" t="s">
        <v>15</v>
      </c>
      <c r="G102" t="s">
        <v>23</v>
      </c>
      <c r="H102" t="s">
        <v>24</v>
      </c>
      <c r="I102">
        <v>1</v>
      </c>
      <c r="J102" s="14">
        <v>11515</v>
      </c>
      <c r="K102" s="6">
        <v>0.15</v>
      </c>
      <c r="L102" t="s">
        <v>77</v>
      </c>
      <c r="M102" s="14">
        <f t="shared" si="3"/>
        <v>9787.75</v>
      </c>
      <c r="N102" s="14">
        <f t="shared" si="4"/>
        <v>6851.4249999999993</v>
      </c>
      <c r="O102" s="14">
        <f t="shared" si="5"/>
        <v>2936.3250000000007</v>
      </c>
    </row>
    <row r="103" spans="1:15" x14ac:dyDescent="0.3">
      <c r="A103" s="8">
        <v>46124</v>
      </c>
      <c r="B103" s="8" t="str">
        <f>TEXT(SalesData[[#This Row],[Date]],"mmm")</f>
        <v>Apr</v>
      </c>
      <c r="C103" s="1" t="s">
        <v>162</v>
      </c>
      <c r="D103" t="s">
        <v>84</v>
      </c>
      <c r="E103" t="s">
        <v>60</v>
      </c>
      <c r="F103" t="s">
        <v>22</v>
      </c>
      <c r="G103" t="s">
        <v>82</v>
      </c>
      <c r="H103" t="s">
        <v>17</v>
      </c>
      <c r="I103">
        <v>1</v>
      </c>
      <c r="J103" s="14">
        <v>14904</v>
      </c>
      <c r="K103" s="6">
        <v>0.15</v>
      </c>
      <c r="L103" t="s">
        <v>77</v>
      </c>
      <c r="M103" s="14">
        <f t="shared" si="3"/>
        <v>12668.4</v>
      </c>
      <c r="N103" s="14">
        <f t="shared" si="4"/>
        <v>8867.8799999999992</v>
      </c>
      <c r="O103" s="14">
        <f t="shared" si="5"/>
        <v>3800.5200000000004</v>
      </c>
    </row>
  </sheetData>
  <phoneticPr fontId="2" type="noConversion"/>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70CB-8FEB-4A41-9D09-AFEB25524549}">
  <dimension ref="A2:P106"/>
  <sheetViews>
    <sheetView zoomScale="90" zoomScaleNormal="90" workbookViewId="0">
      <selection activeCell="H13" sqref="H13"/>
    </sheetView>
  </sheetViews>
  <sheetFormatPr defaultRowHeight="14.4" x14ac:dyDescent="0.3"/>
  <cols>
    <col min="1" max="1" width="10.5546875" bestFit="1" customWidth="1"/>
    <col min="2" max="2" width="16.109375" bestFit="1" customWidth="1"/>
    <col min="4" max="4" width="13.44140625" bestFit="1" customWidth="1"/>
    <col min="5" max="5" width="16.109375" bestFit="1" customWidth="1"/>
    <col min="7" max="7" width="10.5546875" bestFit="1" customWidth="1"/>
    <col min="8" max="8" width="16.109375" bestFit="1" customWidth="1"/>
    <col min="10" max="10" width="16.77734375" bestFit="1" customWidth="1"/>
    <col min="11" max="11" width="16.109375" bestFit="1" customWidth="1"/>
    <col min="13" max="13" width="16.33203125" bestFit="1" customWidth="1"/>
    <col min="14" max="14" width="16.77734375" bestFit="1" customWidth="1"/>
    <col min="15" max="15" width="16.109375" bestFit="1" customWidth="1"/>
    <col min="16" max="16" width="13.88671875" bestFit="1" customWidth="1"/>
  </cols>
  <sheetData>
    <row r="2" spans="1:16" x14ac:dyDescent="0.3">
      <c r="A2" s="16" t="s">
        <v>165</v>
      </c>
      <c r="D2" s="16" t="s">
        <v>167</v>
      </c>
      <c r="G2" s="16" t="s">
        <v>168</v>
      </c>
      <c r="J2" s="16" t="s">
        <v>175</v>
      </c>
      <c r="M2" s="16" t="s">
        <v>182</v>
      </c>
    </row>
    <row r="3" spans="1:16" x14ac:dyDescent="0.3">
      <c r="A3" s="15" t="s">
        <v>1</v>
      </c>
      <c r="B3" t="s">
        <v>164</v>
      </c>
      <c r="D3" s="15" t="s">
        <v>5</v>
      </c>
      <c r="E3" t="s">
        <v>164</v>
      </c>
      <c r="G3" s="15" t="s">
        <v>2</v>
      </c>
      <c r="H3" t="s">
        <v>164</v>
      </c>
      <c r="J3" s="15" t="s">
        <v>26</v>
      </c>
      <c r="K3" t="s">
        <v>164</v>
      </c>
      <c r="M3" s="15" t="s">
        <v>8</v>
      </c>
      <c r="N3" s="15" t="s">
        <v>26</v>
      </c>
      <c r="O3" t="s">
        <v>164</v>
      </c>
      <c r="P3" t="s">
        <v>177</v>
      </c>
    </row>
    <row r="4" spans="1:16" x14ac:dyDescent="0.3">
      <c r="A4" t="s">
        <v>89</v>
      </c>
      <c r="B4" s="14">
        <v>297131.09999999998</v>
      </c>
      <c r="D4" t="s">
        <v>73</v>
      </c>
      <c r="E4" s="14">
        <v>2885354.3700000006</v>
      </c>
      <c r="G4" t="s">
        <v>62</v>
      </c>
      <c r="H4" s="14">
        <v>257889.46</v>
      </c>
      <c r="J4" t="s">
        <v>71</v>
      </c>
      <c r="K4" s="14">
        <v>1249671.2499999998</v>
      </c>
      <c r="M4" t="s">
        <v>12</v>
      </c>
      <c r="N4" t="s">
        <v>13</v>
      </c>
      <c r="O4" s="14">
        <v>99000</v>
      </c>
      <c r="P4" s="14">
        <v>29700</v>
      </c>
    </row>
    <row r="5" spans="1:16" x14ac:dyDescent="0.3">
      <c r="A5" t="s">
        <v>56</v>
      </c>
      <c r="B5" s="14">
        <v>846959.75</v>
      </c>
      <c r="D5" t="s">
        <v>67</v>
      </c>
      <c r="E5" s="14">
        <v>1891111.8500000003</v>
      </c>
      <c r="G5" t="s">
        <v>17</v>
      </c>
      <c r="H5" s="14">
        <v>4945029.21</v>
      </c>
      <c r="J5" t="s">
        <v>84</v>
      </c>
      <c r="K5" s="14">
        <v>1174551.3399999996</v>
      </c>
      <c r="M5" t="s">
        <v>19</v>
      </c>
      <c r="N5" t="s">
        <v>20</v>
      </c>
      <c r="O5" s="14">
        <v>11400</v>
      </c>
      <c r="P5" s="14">
        <v>3420.0000000000009</v>
      </c>
    </row>
    <row r="6" spans="1:16" x14ac:dyDescent="0.3">
      <c r="A6" t="s">
        <v>15</v>
      </c>
      <c r="B6" s="14">
        <v>2498919.04</v>
      </c>
      <c r="D6" t="s">
        <v>63</v>
      </c>
      <c r="E6" s="14">
        <v>1160305.5299999998</v>
      </c>
      <c r="G6" t="s">
        <v>70</v>
      </c>
      <c r="H6" s="14">
        <v>1290494.2499999998</v>
      </c>
      <c r="J6" t="s">
        <v>78</v>
      </c>
      <c r="K6" s="14">
        <v>718226.85</v>
      </c>
      <c r="M6" t="s">
        <v>28</v>
      </c>
      <c r="N6" t="s">
        <v>59</v>
      </c>
      <c r="O6" s="14">
        <v>9294.7999999999993</v>
      </c>
      <c r="P6" s="14">
        <v>2788.4400000000005</v>
      </c>
    </row>
    <row r="7" spans="1:16" x14ac:dyDescent="0.3">
      <c r="A7" t="s">
        <v>57</v>
      </c>
      <c r="B7" s="14">
        <v>2424897.7100000009</v>
      </c>
      <c r="D7" t="s">
        <v>77</v>
      </c>
      <c r="E7" s="14">
        <v>1145122.4199999997</v>
      </c>
      <c r="G7" t="s">
        <v>24</v>
      </c>
      <c r="H7" s="14">
        <v>698881.25</v>
      </c>
      <c r="J7" t="s">
        <v>85</v>
      </c>
      <c r="K7" s="14">
        <v>674801.46</v>
      </c>
      <c r="M7" t="s">
        <v>29</v>
      </c>
      <c r="N7" t="s">
        <v>64</v>
      </c>
      <c r="O7" s="14">
        <v>5913.45</v>
      </c>
      <c r="P7" s="14">
        <v>1774.0349999999999</v>
      </c>
    </row>
    <row r="8" spans="1:16" x14ac:dyDescent="0.3">
      <c r="A8" t="s">
        <v>22</v>
      </c>
      <c r="B8" s="14">
        <v>1124386.5699999998</v>
      </c>
      <c r="D8" t="s">
        <v>18</v>
      </c>
      <c r="E8" s="14">
        <v>99000</v>
      </c>
      <c r="G8" t="s">
        <v>163</v>
      </c>
      <c r="H8" s="14">
        <v>7192294.1699999999</v>
      </c>
      <c r="J8" t="s">
        <v>83</v>
      </c>
      <c r="K8" s="14">
        <v>600830.15999999992</v>
      </c>
      <c r="M8" t="s">
        <v>30</v>
      </c>
      <c r="N8" t="s">
        <v>68</v>
      </c>
      <c r="O8" s="14">
        <v>24888.16</v>
      </c>
      <c r="P8" s="14">
        <v>7466.4480000000003</v>
      </c>
    </row>
    <row r="9" spans="1:16" x14ac:dyDescent="0.3">
      <c r="A9" t="s">
        <v>163</v>
      </c>
      <c r="B9" s="14">
        <v>7192294.1700000018</v>
      </c>
      <c r="D9" t="s">
        <v>25</v>
      </c>
      <c r="E9" s="14">
        <v>11400</v>
      </c>
      <c r="J9" t="s">
        <v>81</v>
      </c>
      <c r="K9" s="14">
        <v>566561.71</v>
      </c>
      <c r="M9" t="s">
        <v>31</v>
      </c>
      <c r="N9" t="s">
        <v>71</v>
      </c>
      <c r="O9" s="14">
        <v>39476.800000000003</v>
      </c>
      <c r="P9" s="14">
        <v>11843.04</v>
      </c>
    </row>
    <row r="10" spans="1:16" x14ac:dyDescent="0.3">
      <c r="D10" t="s">
        <v>163</v>
      </c>
      <c r="E10" s="14">
        <v>7192294.1700000009</v>
      </c>
      <c r="G10" s="16" t="s">
        <v>174</v>
      </c>
      <c r="J10" t="s">
        <v>68</v>
      </c>
      <c r="K10" s="14">
        <v>540954.65999999992</v>
      </c>
      <c r="M10" t="s">
        <v>32</v>
      </c>
      <c r="N10" t="s">
        <v>74</v>
      </c>
      <c r="O10" s="14">
        <v>5978.16</v>
      </c>
      <c r="P10" s="14">
        <v>1793.4480000000003</v>
      </c>
    </row>
    <row r="11" spans="1:16" x14ac:dyDescent="0.3">
      <c r="G11" s="15" t="s">
        <v>169</v>
      </c>
      <c r="H11" t="s">
        <v>164</v>
      </c>
      <c r="J11" t="s">
        <v>75</v>
      </c>
      <c r="K11" s="14">
        <v>481671.94</v>
      </c>
      <c r="M11" t="s">
        <v>33</v>
      </c>
      <c r="N11" t="s">
        <v>75</v>
      </c>
      <c r="O11" s="14">
        <v>5403.2</v>
      </c>
      <c r="P11" s="14">
        <v>1620.96</v>
      </c>
    </row>
    <row r="12" spans="1:16" x14ac:dyDescent="0.3">
      <c r="A12" s="17" t="s">
        <v>166</v>
      </c>
      <c r="D12" s="16" t="s">
        <v>178</v>
      </c>
      <c r="G12" t="s">
        <v>170</v>
      </c>
      <c r="H12" s="14">
        <v>1463700.8599999999</v>
      </c>
      <c r="J12" t="s">
        <v>64</v>
      </c>
      <c r="K12" s="14">
        <v>402124.75</v>
      </c>
      <c r="M12" t="s">
        <v>34</v>
      </c>
      <c r="N12" t="s">
        <v>78</v>
      </c>
      <c r="O12" s="14">
        <v>6354.5999999999995</v>
      </c>
      <c r="P12" s="14">
        <v>1906.38</v>
      </c>
    </row>
    <row r="13" spans="1:16" x14ac:dyDescent="0.3">
      <c r="A13" s="15" t="s">
        <v>10</v>
      </c>
      <c r="B13" t="s">
        <v>164</v>
      </c>
      <c r="D13" s="15" t="s">
        <v>2</v>
      </c>
      <c r="E13" t="s">
        <v>177</v>
      </c>
      <c r="G13" t="s">
        <v>171</v>
      </c>
      <c r="H13" s="14">
        <v>1923116.5500000003</v>
      </c>
      <c r="J13" t="s">
        <v>90</v>
      </c>
      <c r="K13" s="14">
        <v>359782.77</v>
      </c>
      <c r="M13" t="s">
        <v>35</v>
      </c>
      <c r="N13" t="s">
        <v>59</v>
      </c>
      <c r="O13" s="14">
        <v>2254.1999999999998</v>
      </c>
      <c r="P13" s="14">
        <v>676.26</v>
      </c>
    </row>
    <row r="14" spans="1:16" x14ac:dyDescent="0.3">
      <c r="A14" t="s">
        <v>69</v>
      </c>
      <c r="B14" s="14">
        <v>872791.85999999987</v>
      </c>
      <c r="D14" t="s">
        <v>62</v>
      </c>
      <c r="E14" s="14">
        <v>77366.838000000018</v>
      </c>
      <c r="G14" t="s">
        <v>172</v>
      </c>
      <c r="H14" s="14">
        <v>3234348.0600000005</v>
      </c>
      <c r="J14" t="s">
        <v>74</v>
      </c>
      <c r="K14" s="14">
        <v>160340.20000000001</v>
      </c>
      <c r="M14" t="s">
        <v>36</v>
      </c>
      <c r="N14" t="s">
        <v>74</v>
      </c>
      <c r="O14" s="14">
        <v>6795.36</v>
      </c>
      <c r="P14" s="14">
        <v>2038.6080000000002</v>
      </c>
    </row>
    <row r="15" spans="1:16" x14ac:dyDescent="0.3">
      <c r="A15" t="s">
        <v>66</v>
      </c>
      <c r="B15" s="14">
        <v>64012.990000000005</v>
      </c>
      <c r="D15" t="s">
        <v>17</v>
      </c>
      <c r="E15" s="14">
        <v>1483508.7630000003</v>
      </c>
      <c r="G15" t="s">
        <v>173</v>
      </c>
      <c r="H15" s="14">
        <v>571128.70000000007</v>
      </c>
      <c r="J15" t="s">
        <v>59</v>
      </c>
      <c r="K15" s="14">
        <v>152377.08000000002</v>
      </c>
      <c r="M15" t="s">
        <v>37</v>
      </c>
      <c r="N15" t="s">
        <v>78</v>
      </c>
      <c r="O15" s="14">
        <v>481236.8</v>
      </c>
      <c r="P15" s="14">
        <v>144371.04000000004</v>
      </c>
    </row>
    <row r="16" spans="1:16" x14ac:dyDescent="0.3">
      <c r="A16" t="s">
        <v>16</v>
      </c>
      <c r="B16" s="14">
        <v>3767969.74</v>
      </c>
      <c r="D16" t="s">
        <v>70</v>
      </c>
      <c r="E16" s="14">
        <v>387148.27500000014</v>
      </c>
      <c r="G16" t="s">
        <v>163</v>
      </c>
      <c r="H16" s="14">
        <v>7192294.1700000009</v>
      </c>
      <c r="J16" t="s">
        <v>13</v>
      </c>
      <c r="K16" s="14">
        <v>99000</v>
      </c>
      <c r="M16" t="s">
        <v>38</v>
      </c>
      <c r="N16" t="s">
        <v>75</v>
      </c>
      <c r="O16" s="14">
        <v>40290</v>
      </c>
      <c r="P16" s="14">
        <v>12087</v>
      </c>
    </row>
    <row r="17" spans="1:16" x14ac:dyDescent="0.3">
      <c r="A17" t="s">
        <v>82</v>
      </c>
      <c r="B17" s="14">
        <v>1177059.47</v>
      </c>
      <c r="D17" t="s">
        <v>24</v>
      </c>
      <c r="E17" s="14">
        <v>209664.375</v>
      </c>
      <c r="J17" t="s">
        <v>20</v>
      </c>
      <c r="K17" s="14">
        <v>11400</v>
      </c>
      <c r="M17" t="s">
        <v>39</v>
      </c>
      <c r="N17" t="s">
        <v>81</v>
      </c>
      <c r="O17" s="14">
        <v>83733</v>
      </c>
      <c r="P17" s="14">
        <v>25119.9</v>
      </c>
    </row>
    <row r="18" spans="1:16" x14ac:dyDescent="0.3">
      <c r="A18" t="s">
        <v>76</v>
      </c>
      <c r="B18" s="14">
        <v>44423.08</v>
      </c>
      <c r="D18" t="s">
        <v>163</v>
      </c>
      <c r="E18" s="14">
        <v>2157688.2510000002</v>
      </c>
      <c r="J18" t="s">
        <v>163</v>
      </c>
      <c r="K18" s="14">
        <v>7192294.1699999999</v>
      </c>
      <c r="M18" t="s">
        <v>40</v>
      </c>
      <c r="N18" t="s">
        <v>68</v>
      </c>
      <c r="O18" s="14">
        <v>622.19999999999993</v>
      </c>
      <c r="P18" s="14">
        <v>186.66000000000003</v>
      </c>
    </row>
    <row r="19" spans="1:16" x14ac:dyDescent="0.3">
      <c r="A19" t="s">
        <v>72</v>
      </c>
      <c r="B19" s="14">
        <v>417702.39</v>
      </c>
      <c r="M19" t="s">
        <v>41</v>
      </c>
      <c r="N19" t="s">
        <v>78</v>
      </c>
      <c r="O19" s="14">
        <v>4945.6000000000004</v>
      </c>
      <c r="P19" s="14">
        <v>1483.6800000000003</v>
      </c>
    </row>
    <row r="20" spans="1:16" x14ac:dyDescent="0.3">
      <c r="A20" t="s">
        <v>23</v>
      </c>
      <c r="B20" s="14">
        <v>698881.25</v>
      </c>
      <c r="M20" t="s">
        <v>42</v>
      </c>
      <c r="N20" t="s">
        <v>83</v>
      </c>
      <c r="O20" s="14">
        <v>18613.349999999999</v>
      </c>
      <c r="P20" s="14">
        <v>5584.005000000001</v>
      </c>
    </row>
    <row r="21" spans="1:16" x14ac:dyDescent="0.3">
      <c r="A21" t="s">
        <v>61</v>
      </c>
      <c r="B21" s="14">
        <v>149453.38999999998</v>
      </c>
      <c r="M21" t="s">
        <v>43</v>
      </c>
      <c r="N21" t="s">
        <v>84</v>
      </c>
      <c r="O21" s="14">
        <v>77560.2</v>
      </c>
      <c r="P21" s="14">
        <v>23268.060000000005</v>
      </c>
    </row>
    <row r="22" spans="1:16" x14ac:dyDescent="0.3">
      <c r="A22" t="s">
        <v>163</v>
      </c>
      <c r="B22" s="14">
        <v>7192294.169999999</v>
      </c>
      <c r="M22" t="s">
        <v>44</v>
      </c>
      <c r="N22" t="s">
        <v>84</v>
      </c>
      <c r="O22" s="14">
        <v>91320.599999999991</v>
      </c>
      <c r="P22" s="14">
        <v>27396.18</v>
      </c>
    </row>
    <row r="23" spans="1:16" x14ac:dyDescent="0.3">
      <c r="M23" t="s">
        <v>45</v>
      </c>
      <c r="N23" t="s">
        <v>74</v>
      </c>
      <c r="O23" s="14">
        <v>24417.72</v>
      </c>
      <c r="P23" s="14">
        <v>7325.3160000000025</v>
      </c>
    </row>
    <row r="24" spans="1:16" x14ac:dyDescent="0.3">
      <c r="M24" t="s">
        <v>46</v>
      </c>
      <c r="N24" t="s">
        <v>75</v>
      </c>
      <c r="O24" s="14">
        <v>144405.36000000002</v>
      </c>
      <c r="P24" s="14">
        <v>43321.608000000007</v>
      </c>
    </row>
    <row r="25" spans="1:16" x14ac:dyDescent="0.3">
      <c r="M25" t="s">
        <v>47</v>
      </c>
      <c r="N25" t="s">
        <v>68</v>
      </c>
      <c r="O25" s="14">
        <v>2458.1999999999998</v>
      </c>
      <c r="P25" s="14">
        <v>737.46</v>
      </c>
    </row>
    <row r="26" spans="1:16" x14ac:dyDescent="0.3">
      <c r="M26" t="s">
        <v>48</v>
      </c>
      <c r="N26" t="s">
        <v>85</v>
      </c>
      <c r="O26" s="14">
        <v>9490</v>
      </c>
      <c r="P26" s="14">
        <v>2847</v>
      </c>
    </row>
    <row r="27" spans="1:16" x14ac:dyDescent="0.3">
      <c r="M27" t="s">
        <v>49</v>
      </c>
      <c r="N27" t="s">
        <v>85</v>
      </c>
      <c r="O27" s="14">
        <v>17320.45</v>
      </c>
      <c r="P27" s="14">
        <v>5196.1350000000002</v>
      </c>
    </row>
    <row r="28" spans="1:16" x14ac:dyDescent="0.3">
      <c r="M28" t="s">
        <v>50</v>
      </c>
      <c r="N28" t="s">
        <v>84</v>
      </c>
      <c r="O28" s="14">
        <v>61600</v>
      </c>
      <c r="P28" s="14">
        <v>18480</v>
      </c>
    </row>
    <row r="29" spans="1:16" x14ac:dyDescent="0.3">
      <c r="M29" t="s">
        <v>51</v>
      </c>
      <c r="N29" t="s">
        <v>78</v>
      </c>
      <c r="O29" s="14">
        <v>41584.35</v>
      </c>
      <c r="P29" s="14">
        <v>12475.305</v>
      </c>
    </row>
    <row r="30" spans="1:16" x14ac:dyDescent="0.3">
      <c r="M30" t="s">
        <v>52</v>
      </c>
      <c r="N30" t="s">
        <v>85</v>
      </c>
      <c r="O30" s="14">
        <v>17127.5</v>
      </c>
      <c r="P30" s="14">
        <v>5138.25</v>
      </c>
    </row>
    <row r="31" spans="1:16" x14ac:dyDescent="0.3">
      <c r="M31" t="s">
        <v>53</v>
      </c>
      <c r="N31" t="s">
        <v>85</v>
      </c>
      <c r="O31" s="14">
        <v>75259.8</v>
      </c>
      <c r="P31" s="14">
        <v>22577.940000000002</v>
      </c>
    </row>
    <row r="32" spans="1:16" x14ac:dyDescent="0.3">
      <c r="M32" t="s">
        <v>54</v>
      </c>
      <c r="N32" t="s">
        <v>59</v>
      </c>
      <c r="O32" s="14">
        <v>30351.600000000002</v>
      </c>
      <c r="P32" s="14">
        <v>9105.4800000000032</v>
      </c>
    </row>
    <row r="33" spans="13:16" x14ac:dyDescent="0.3">
      <c r="M33" t="s">
        <v>55</v>
      </c>
      <c r="N33" t="s">
        <v>64</v>
      </c>
      <c r="O33" s="14">
        <v>2117</v>
      </c>
      <c r="P33" s="14">
        <v>635.10000000000014</v>
      </c>
    </row>
    <row r="34" spans="13:16" x14ac:dyDescent="0.3">
      <c r="M34" t="s">
        <v>91</v>
      </c>
      <c r="N34" t="s">
        <v>81</v>
      </c>
      <c r="O34" s="14">
        <v>22488.399999999998</v>
      </c>
      <c r="P34" s="14">
        <v>6746.52</v>
      </c>
    </row>
    <row r="35" spans="13:16" x14ac:dyDescent="0.3">
      <c r="M35" t="s">
        <v>92</v>
      </c>
      <c r="N35" t="s">
        <v>59</v>
      </c>
      <c r="O35" s="14">
        <v>23602</v>
      </c>
      <c r="P35" s="14">
        <v>7080.6000000000022</v>
      </c>
    </row>
    <row r="36" spans="13:16" x14ac:dyDescent="0.3">
      <c r="M36" t="s">
        <v>93</v>
      </c>
      <c r="N36" t="s">
        <v>75</v>
      </c>
      <c r="O36" s="14">
        <v>490.16</v>
      </c>
      <c r="P36" s="14">
        <v>147.048</v>
      </c>
    </row>
    <row r="37" spans="13:16" x14ac:dyDescent="0.3">
      <c r="M37" t="s">
        <v>94</v>
      </c>
      <c r="N37" t="s">
        <v>90</v>
      </c>
      <c r="O37" s="14">
        <v>2615.4</v>
      </c>
      <c r="P37" s="14">
        <v>784.62000000000012</v>
      </c>
    </row>
    <row r="38" spans="13:16" x14ac:dyDescent="0.3">
      <c r="M38" t="s">
        <v>95</v>
      </c>
      <c r="N38" t="s">
        <v>75</v>
      </c>
      <c r="O38" s="14">
        <v>7740.4800000000005</v>
      </c>
      <c r="P38" s="14">
        <v>2322.1440000000002</v>
      </c>
    </row>
    <row r="39" spans="13:16" x14ac:dyDescent="0.3">
      <c r="M39" t="s">
        <v>96</v>
      </c>
      <c r="N39" t="s">
        <v>84</v>
      </c>
      <c r="O39" s="14">
        <v>1525.3600000000001</v>
      </c>
      <c r="P39" s="14">
        <v>457.60800000000017</v>
      </c>
    </row>
    <row r="40" spans="13:16" x14ac:dyDescent="0.3">
      <c r="M40" t="s">
        <v>97</v>
      </c>
      <c r="N40" t="s">
        <v>90</v>
      </c>
      <c r="O40" s="14">
        <v>87124.5</v>
      </c>
      <c r="P40" s="14">
        <v>26137.350000000006</v>
      </c>
    </row>
    <row r="41" spans="13:16" x14ac:dyDescent="0.3">
      <c r="M41" t="s">
        <v>98</v>
      </c>
      <c r="N41" t="s">
        <v>84</v>
      </c>
      <c r="O41" s="14">
        <v>121192</v>
      </c>
      <c r="P41" s="14">
        <v>36357.600000000006</v>
      </c>
    </row>
    <row r="42" spans="13:16" x14ac:dyDescent="0.3">
      <c r="M42" t="s">
        <v>99</v>
      </c>
      <c r="N42" t="s">
        <v>85</v>
      </c>
      <c r="O42" s="14">
        <v>73655.199999999997</v>
      </c>
      <c r="P42" s="14">
        <v>22096.560000000005</v>
      </c>
    </row>
    <row r="43" spans="13:16" x14ac:dyDescent="0.3">
      <c r="M43" t="s">
        <v>100</v>
      </c>
      <c r="N43" t="s">
        <v>84</v>
      </c>
      <c r="O43" s="14">
        <v>7686.6</v>
      </c>
      <c r="P43" s="14">
        <v>2305.9800000000005</v>
      </c>
    </row>
    <row r="44" spans="13:16" x14ac:dyDescent="0.3">
      <c r="M44" t="s">
        <v>101</v>
      </c>
      <c r="N44" t="s">
        <v>74</v>
      </c>
      <c r="O44" s="14">
        <v>1648.64</v>
      </c>
      <c r="P44" s="14">
        <v>494.5920000000001</v>
      </c>
    </row>
    <row r="45" spans="13:16" x14ac:dyDescent="0.3">
      <c r="M45" t="s">
        <v>102</v>
      </c>
      <c r="N45" t="s">
        <v>81</v>
      </c>
      <c r="O45" s="14">
        <v>93976.2</v>
      </c>
      <c r="P45" s="14">
        <v>28192.86</v>
      </c>
    </row>
    <row r="46" spans="13:16" x14ac:dyDescent="0.3">
      <c r="M46" t="s">
        <v>103</v>
      </c>
      <c r="N46" t="s">
        <v>74</v>
      </c>
      <c r="O46" s="14">
        <v>107205</v>
      </c>
      <c r="P46" s="14">
        <v>32161.5</v>
      </c>
    </row>
    <row r="47" spans="13:16" x14ac:dyDescent="0.3">
      <c r="M47" t="s">
        <v>104</v>
      </c>
      <c r="N47" t="s">
        <v>71</v>
      </c>
      <c r="O47" s="14">
        <v>473729.85</v>
      </c>
      <c r="P47" s="14">
        <v>142118.95500000002</v>
      </c>
    </row>
    <row r="48" spans="13:16" x14ac:dyDescent="0.3">
      <c r="M48" t="s">
        <v>105</v>
      </c>
      <c r="N48" t="s">
        <v>68</v>
      </c>
      <c r="O48" s="14">
        <v>248575.5</v>
      </c>
      <c r="P48" s="14">
        <v>74572.650000000023</v>
      </c>
    </row>
    <row r="49" spans="13:16" x14ac:dyDescent="0.3">
      <c r="M49" t="s">
        <v>106</v>
      </c>
      <c r="N49" t="s">
        <v>84</v>
      </c>
      <c r="O49" s="14">
        <v>2818.8</v>
      </c>
      <c r="P49" s="14">
        <v>845.6400000000001</v>
      </c>
    </row>
    <row r="50" spans="13:16" x14ac:dyDescent="0.3">
      <c r="M50" t="s">
        <v>107</v>
      </c>
      <c r="N50" t="s">
        <v>75</v>
      </c>
      <c r="O50" s="14">
        <v>12852</v>
      </c>
      <c r="P50" s="14">
        <v>3855.6000000000004</v>
      </c>
    </row>
    <row r="51" spans="13:16" x14ac:dyDescent="0.3">
      <c r="M51" t="s">
        <v>108</v>
      </c>
      <c r="N51" t="s">
        <v>85</v>
      </c>
      <c r="O51" s="14">
        <v>50529.16</v>
      </c>
      <c r="P51" s="14">
        <v>15158.748000000007</v>
      </c>
    </row>
    <row r="52" spans="13:16" x14ac:dyDescent="0.3">
      <c r="M52" t="s">
        <v>109</v>
      </c>
      <c r="N52" t="s">
        <v>68</v>
      </c>
      <c r="O52" s="14">
        <v>41790.6</v>
      </c>
      <c r="P52" s="14">
        <v>12537.18</v>
      </c>
    </row>
    <row r="53" spans="13:16" x14ac:dyDescent="0.3">
      <c r="M53" t="s">
        <v>110</v>
      </c>
      <c r="N53" t="s">
        <v>75</v>
      </c>
      <c r="O53" s="14">
        <v>74919</v>
      </c>
      <c r="P53" s="14">
        <v>22475.700000000004</v>
      </c>
    </row>
    <row r="54" spans="13:16" x14ac:dyDescent="0.3">
      <c r="M54" t="s">
        <v>111</v>
      </c>
      <c r="N54" t="s">
        <v>83</v>
      </c>
      <c r="O54" s="14">
        <v>76500</v>
      </c>
      <c r="P54" s="14">
        <v>22950</v>
      </c>
    </row>
    <row r="55" spans="13:16" x14ac:dyDescent="0.3">
      <c r="M55" t="s">
        <v>112</v>
      </c>
      <c r="N55" t="s">
        <v>68</v>
      </c>
      <c r="O55" s="14">
        <v>13803.300000000001</v>
      </c>
      <c r="P55" s="14">
        <v>4140.9900000000016</v>
      </c>
    </row>
    <row r="56" spans="13:16" x14ac:dyDescent="0.3">
      <c r="M56" t="s">
        <v>113</v>
      </c>
      <c r="N56" t="s">
        <v>83</v>
      </c>
      <c r="O56" s="14">
        <v>39888</v>
      </c>
      <c r="P56" s="14">
        <v>11966.400000000001</v>
      </c>
    </row>
    <row r="57" spans="13:16" x14ac:dyDescent="0.3">
      <c r="M57" t="s">
        <v>114</v>
      </c>
      <c r="N57" t="s">
        <v>83</v>
      </c>
      <c r="O57" s="14">
        <v>36513.449999999997</v>
      </c>
      <c r="P57" s="14">
        <v>10954.035</v>
      </c>
    </row>
    <row r="58" spans="13:16" x14ac:dyDescent="0.3">
      <c r="M58" t="s">
        <v>115</v>
      </c>
      <c r="N58" t="s">
        <v>84</v>
      </c>
      <c r="O58" s="14">
        <v>6735.5</v>
      </c>
      <c r="P58" s="14">
        <v>2020.6500000000005</v>
      </c>
    </row>
    <row r="59" spans="13:16" x14ac:dyDescent="0.3">
      <c r="M59" t="s">
        <v>116</v>
      </c>
      <c r="N59" t="s">
        <v>84</v>
      </c>
      <c r="O59" s="14">
        <v>93974</v>
      </c>
      <c r="P59" s="14">
        <v>28192.199999999997</v>
      </c>
    </row>
    <row r="60" spans="13:16" x14ac:dyDescent="0.3">
      <c r="M60" t="s">
        <v>117</v>
      </c>
      <c r="N60" t="s">
        <v>68</v>
      </c>
      <c r="O60" s="14">
        <v>66251.099999999991</v>
      </c>
      <c r="P60" s="14">
        <v>19875.330000000002</v>
      </c>
    </row>
    <row r="61" spans="13:16" x14ac:dyDescent="0.3">
      <c r="M61" t="s">
        <v>118</v>
      </c>
      <c r="N61" t="s">
        <v>64</v>
      </c>
      <c r="O61" s="14">
        <v>65564.75</v>
      </c>
      <c r="P61" s="14">
        <v>19669.425000000003</v>
      </c>
    </row>
    <row r="62" spans="13:16" x14ac:dyDescent="0.3">
      <c r="M62" t="s">
        <v>119</v>
      </c>
      <c r="N62" t="s">
        <v>68</v>
      </c>
      <c r="O62" s="14">
        <v>90210</v>
      </c>
      <c r="P62" s="14">
        <v>27063.000000000007</v>
      </c>
    </row>
    <row r="63" spans="13:16" x14ac:dyDescent="0.3">
      <c r="M63" t="s">
        <v>120</v>
      </c>
      <c r="N63" t="s">
        <v>64</v>
      </c>
      <c r="O63" s="14">
        <v>58873.399999999994</v>
      </c>
      <c r="P63" s="14">
        <v>17662.020000000004</v>
      </c>
    </row>
    <row r="64" spans="13:16" x14ac:dyDescent="0.3">
      <c r="M64" t="s">
        <v>121</v>
      </c>
      <c r="N64" t="s">
        <v>75</v>
      </c>
      <c r="O64" s="14">
        <v>109531.52</v>
      </c>
      <c r="P64" s="14">
        <v>32859.456000000006</v>
      </c>
    </row>
    <row r="65" spans="13:16" x14ac:dyDescent="0.3">
      <c r="M65" t="s">
        <v>122</v>
      </c>
      <c r="N65" t="s">
        <v>78</v>
      </c>
      <c r="O65" s="14">
        <v>13166.5</v>
      </c>
      <c r="P65" s="14">
        <v>3949.9500000000007</v>
      </c>
    </row>
    <row r="66" spans="13:16" x14ac:dyDescent="0.3">
      <c r="M66" t="s">
        <v>123</v>
      </c>
      <c r="N66" t="s">
        <v>78</v>
      </c>
      <c r="O66" s="14">
        <v>3168</v>
      </c>
      <c r="P66" s="14">
        <v>950.40000000000009</v>
      </c>
    </row>
    <row r="67" spans="13:16" x14ac:dyDescent="0.3">
      <c r="M67" t="s">
        <v>124</v>
      </c>
      <c r="N67" t="s">
        <v>81</v>
      </c>
      <c r="O67" s="14">
        <v>356576.36000000004</v>
      </c>
      <c r="P67" s="14">
        <v>106972.90800000002</v>
      </c>
    </row>
    <row r="68" spans="13:16" x14ac:dyDescent="0.3">
      <c r="M68" t="s">
        <v>125</v>
      </c>
      <c r="N68" t="s">
        <v>71</v>
      </c>
      <c r="O68" s="14">
        <v>127656</v>
      </c>
      <c r="P68" s="14">
        <v>38296.800000000003</v>
      </c>
    </row>
    <row r="69" spans="13:16" x14ac:dyDescent="0.3">
      <c r="M69" t="s">
        <v>126</v>
      </c>
      <c r="N69" t="s">
        <v>71</v>
      </c>
      <c r="O69" s="14">
        <v>23298.75</v>
      </c>
      <c r="P69" s="14">
        <v>6989.6250000000018</v>
      </c>
    </row>
    <row r="70" spans="13:16" x14ac:dyDescent="0.3">
      <c r="M70" t="s">
        <v>127</v>
      </c>
      <c r="N70" t="s">
        <v>85</v>
      </c>
      <c r="O70" s="14">
        <v>92454</v>
      </c>
      <c r="P70" s="14">
        <v>27736.200000000004</v>
      </c>
    </row>
    <row r="71" spans="13:16" x14ac:dyDescent="0.3">
      <c r="M71" t="s">
        <v>128</v>
      </c>
      <c r="N71" t="s">
        <v>90</v>
      </c>
      <c r="O71" s="14">
        <v>50375.520000000004</v>
      </c>
      <c r="P71" s="14">
        <v>15112.656000000003</v>
      </c>
    </row>
    <row r="72" spans="13:16" x14ac:dyDescent="0.3">
      <c r="M72" t="s">
        <v>129</v>
      </c>
      <c r="N72" t="s">
        <v>71</v>
      </c>
      <c r="O72" s="14">
        <v>438400</v>
      </c>
      <c r="P72" s="14">
        <v>131520</v>
      </c>
    </row>
    <row r="73" spans="13:16" x14ac:dyDescent="0.3">
      <c r="M73" t="s">
        <v>130</v>
      </c>
      <c r="N73" t="s">
        <v>84</v>
      </c>
      <c r="O73" s="14">
        <v>505116.80000000005</v>
      </c>
      <c r="P73" s="14">
        <v>151535.04000000004</v>
      </c>
    </row>
    <row r="74" spans="13:16" x14ac:dyDescent="0.3">
      <c r="M74" t="s">
        <v>131</v>
      </c>
      <c r="N74" t="s">
        <v>59</v>
      </c>
      <c r="O74" s="14">
        <v>86874.48</v>
      </c>
      <c r="P74" s="14">
        <v>26062.344000000005</v>
      </c>
    </row>
    <row r="75" spans="13:16" x14ac:dyDescent="0.3">
      <c r="M75" t="s">
        <v>132</v>
      </c>
      <c r="N75" t="s">
        <v>78</v>
      </c>
      <c r="O75" s="14">
        <v>151593</v>
      </c>
      <c r="P75" s="14">
        <v>45477.900000000009</v>
      </c>
    </row>
    <row r="76" spans="13:16" x14ac:dyDescent="0.3">
      <c r="M76" t="s">
        <v>133</v>
      </c>
      <c r="N76" t="s">
        <v>74</v>
      </c>
      <c r="O76" s="14">
        <v>1250</v>
      </c>
      <c r="P76" s="14">
        <v>375</v>
      </c>
    </row>
    <row r="77" spans="13:16" x14ac:dyDescent="0.3">
      <c r="M77" t="s">
        <v>134</v>
      </c>
      <c r="N77" t="s">
        <v>74</v>
      </c>
      <c r="O77" s="14">
        <v>943</v>
      </c>
      <c r="P77" s="14">
        <v>282.90000000000009</v>
      </c>
    </row>
    <row r="78" spans="13:16" x14ac:dyDescent="0.3">
      <c r="M78" t="s">
        <v>135</v>
      </c>
      <c r="N78" t="s">
        <v>84</v>
      </c>
      <c r="O78" s="14">
        <v>46840</v>
      </c>
      <c r="P78" s="14">
        <v>14052</v>
      </c>
    </row>
    <row r="79" spans="13:16" x14ac:dyDescent="0.3">
      <c r="M79" t="s">
        <v>136</v>
      </c>
      <c r="N79" t="s">
        <v>71</v>
      </c>
      <c r="O79" s="14">
        <v>12622.5</v>
      </c>
      <c r="P79" s="14">
        <v>3786.75</v>
      </c>
    </row>
    <row r="80" spans="13:16" x14ac:dyDescent="0.3">
      <c r="M80" t="s">
        <v>137</v>
      </c>
      <c r="N80" t="s">
        <v>71</v>
      </c>
      <c r="O80" s="14">
        <v>2932</v>
      </c>
      <c r="P80" s="14">
        <v>879.59999999999991</v>
      </c>
    </row>
    <row r="81" spans="13:16" x14ac:dyDescent="0.3">
      <c r="M81" t="s">
        <v>138</v>
      </c>
      <c r="N81" t="s">
        <v>74</v>
      </c>
      <c r="O81" s="14">
        <v>8938.7200000000012</v>
      </c>
      <c r="P81" s="14">
        <v>2681.6160000000009</v>
      </c>
    </row>
    <row r="82" spans="13:16" x14ac:dyDescent="0.3">
      <c r="M82" t="s">
        <v>139</v>
      </c>
      <c r="N82" t="s">
        <v>83</v>
      </c>
      <c r="O82" s="14">
        <v>387016.96000000002</v>
      </c>
      <c r="P82" s="14">
        <v>116105.08800000005</v>
      </c>
    </row>
    <row r="83" spans="13:16" x14ac:dyDescent="0.3">
      <c r="M83" t="s">
        <v>140</v>
      </c>
      <c r="N83" t="s">
        <v>83</v>
      </c>
      <c r="O83" s="14">
        <v>41123.700000000004</v>
      </c>
      <c r="P83" s="14">
        <v>12337.110000000004</v>
      </c>
    </row>
    <row r="84" spans="13:16" x14ac:dyDescent="0.3">
      <c r="M84" t="s">
        <v>141</v>
      </c>
      <c r="N84" t="s">
        <v>85</v>
      </c>
      <c r="O84" s="14">
        <v>233116.75</v>
      </c>
      <c r="P84" s="14">
        <v>69935.025000000023</v>
      </c>
    </row>
    <row r="85" spans="13:16" x14ac:dyDescent="0.3">
      <c r="M85" t="s">
        <v>142</v>
      </c>
      <c r="N85" t="s">
        <v>75</v>
      </c>
      <c r="O85" s="14">
        <v>26593.599999999999</v>
      </c>
      <c r="P85" s="14">
        <v>7978.0800000000017</v>
      </c>
    </row>
    <row r="86" spans="13:16" x14ac:dyDescent="0.3">
      <c r="M86" t="s">
        <v>143</v>
      </c>
      <c r="N86" t="s">
        <v>84</v>
      </c>
      <c r="O86" s="14">
        <v>121860</v>
      </c>
      <c r="P86" s="14">
        <v>36558</v>
      </c>
    </row>
    <row r="87" spans="13:16" x14ac:dyDescent="0.3">
      <c r="M87" t="s">
        <v>144</v>
      </c>
      <c r="N87" t="s">
        <v>64</v>
      </c>
      <c r="O87" s="14">
        <v>115861.04999999999</v>
      </c>
      <c r="P87" s="14">
        <v>34758.315000000002</v>
      </c>
    </row>
    <row r="88" spans="13:16" x14ac:dyDescent="0.3">
      <c r="M88" t="s">
        <v>145</v>
      </c>
      <c r="N88" t="s">
        <v>75</v>
      </c>
      <c r="O88" s="14">
        <v>54445.5</v>
      </c>
      <c r="P88" s="14">
        <v>16333.650000000001</v>
      </c>
    </row>
    <row r="89" spans="13:16" x14ac:dyDescent="0.3">
      <c r="M89" t="s">
        <v>146</v>
      </c>
      <c r="N89" t="s">
        <v>78</v>
      </c>
      <c r="O89" s="14">
        <v>16178</v>
      </c>
      <c r="P89" s="14">
        <v>4853.4000000000015</v>
      </c>
    </row>
    <row r="90" spans="13:16" x14ac:dyDescent="0.3">
      <c r="M90" t="s">
        <v>147</v>
      </c>
      <c r="N90" t="s">
        <v>74</v>
      </c>
      <c r="O90" s="14">
        <v>3163.6</v>
      </c>
      <c r="P90" s="14">
        <v>949.07999999999993</v>
      </c>
    </row>
    <row r="91" spans="13:16" x14ac:dyDescent="0.3">
      <c r="M91" t="s">
        <v>148</v>
      </c>
      <c r="N91" t="s">
        <v>90</v>
      </c>
      <c r="O91" s="14">
        <v>20994.149999999998</v>
      </c>
      <c r="P91" s="14">
        <v>6298.2450000000008</v>
      </c>
    </row>
    <row r="92" spans="13:16" x14ac:dyDescent="0.3">
      <c r="M92" t="s">
        <v>149</v>
      </c>
      <c r="N92" t="s">
        <v>68</v>
      </c>
      <c r="O92" s="14">
        <v>52355.6</v>
      </c>
      <c r="P92" s="14">
        <v>15706.68</v>
      </c>
    </row>
    <row r="93" spans="13:16" x14ac:dyDescent="0.3">
      <c r="M93" t="s">
        <v>150</v>
      </c>
      <c r="N93" t="s">
        <v>85</v>
      </c>
      <c r="O93" s="14">
        <v>71028.600000000006</v>
      </c>
      <c r="P93" s="14">
        <v>21308.58</v>
      </c>
    </row>
    <row r="94" spans="13:16" x14ac:dyDescent="0.3">
      <c r="M94" t="s">
        <v>151</v>
      </c>
      <c r="N94" t="s">
        <v>71</v>
      </c>
      <c r="O94" s="14">
        <v>94343.2</v>
      </c>
      <c r="P94" s="14">
        <v>28302.960000000006</v>
      </c>
    </row>
    <row r="95" spans="13:16" x14ac:dyDescent="0.3">
      <c r="M95" t="s">
        <v>152</v>
      </c>
      <c r="N95" t="s">
        <v>75</v>
      </c>
      <c r="O95" s="14">
        <v>5001.12</v>
      </c>
      <c r="P95" s="14">
        <v>1500.3360000000002</v>
      </c>
    </row>
    <row r="96" spans="13:16" x14ac:dyDescent="0.3">
      <c r="M96" t="s">
        <v>153</v>
      </c>
      <c r="N96" t="s">
        <v>90</v>
      </c>
      <c r="O96" s="14">
        <v>198673.2</v>
      </c>
      <c r="P96" s="14">
        <v>59601.960000000021</v>
      </c>
    </row>
    <row r="97" spans="13:16" x14ac:dyDescent="0.3">
      <c r="M97" t="s">
        <v>154</v>
      </c>
      <c r="N97" t="s">
        <v>64</v>
      </c>
      <c r="O97" s="14">
        <v>94940.1</v>
      </c>
      <c r="P97" s="14">
        <v>28482.03</v>
      </c>
    </row>
    <row r="98" spans="13:16" x14ac:dyDescent="0.3">
      <c r="M98" t="s">
        <v>155</v>
      </c>
      <c r="N98" t="s">
        <v>84</v>
      </c>
      <c r="O98" s="14">
        <v>22711.920000000002</v>
      </c>
      <c r="P98" s="14">
        <v>6813.5760000000009</v>
      </c>
    </row>
    <row r="99" spans="13:16" x14ac:dyDescent="0.3">
      <c r="M99" t="s">
        <v>156</v>
      </c>
      <c r="N99" t="s">
        <v>71</v>
      </c>
      <c r="O99" s="14">
        <v>37212.15</v>
      </c>
      <c r="P99" s="14">
        <v>11163.645</v>
      </c>
    </row>
    <row r="100" spans="13:16" x14ac:dyDescent="0.3">
      <c r="M100" t="s">
        <v>157</v>
      </c>
      <c r="N100" t="s">
        <v>85</v>
      </c>
      <c r="O100" s="14">
        <v>34820</v>
      </c>
      <c r="P100" s="14">
        <v>10446</v>
      </c>
    </row>
    <row r="101" spans="13:16" x14ac:dyDescent="0.3">
      <c r="M101" t="s">
        <v>158</v>
      </c>
      <c r="N101" t="s">
        <v>83</v>
      </c>
      <c r="O101" s="14">
        <v>1174.7</v>
      </c>
      <c r="P101" s="14">
        <v>352.41000000000008</v>
      </c>
    </row>
    <row r="102" spans="13:16" x14ac:dyDescent="0.3">
      <c r="M102" t="s">
        <v>159</v>
      </c>
      <c r="N102" t="s">
        <v>64</v>
      </c>
      <c r="O102" s="14">
        <v>58855</v>
      </c>
      <c r="P102" s="14">
        <v>17656.5</v>
      </c>
    </row>
    <row r="103" spans="13:16" x14ac:dyDescent="0.3">
      <c r="M103" t="s">
        <v>160</v>
      </c>
      <c r="N103" t="s">
        <v>84</v>
      </c>
      <c r="O103" s="14">
        <v>941.16000000000008</v>
      </c>
      <c r="P103" s="14">
        <v>282.34800000000007</v>
      </c>
    </row>
    <row r="104" spans="13:16" x14ac:dyDescent="0.3">
      <c r="M104" t="s">
        <v>161</v>
      </c>
      <c r="N104" t="s">
        <v>81</v>
      </c>
      <c r="O104" s="14">
        <v>9787.75</v>
      </c>
      <c r="P104" s="14">
        <v>2936.3250000000007</v>
      </c>
    </row>
    <row r="105" spans="13:16" x14ac:dyDescent="0.3">
      <c r="M105" t="s">
        <v>162</v>
      </c>
      <c r="N105" t="s">
        <v>84</v>
      </c>
      <c r="O105" s="14">
        <v>12668.4</v>
      </c>
      <c r="P105" s="14">
        <v>3800.5200000000004</v>
      </c>
    </row>
    <row r="106" spans="13:16" x14ac:dyDescent="0.3">
      <c r="M106" t="s">
        <v>163</v>
      </c>
      <c r="O106" s="14">
        <v>7192294.169999999</v>
      </c>
      <c r="P106" s="14">
        <v>2157688.2510000002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25B9-7138-41F9-9B1A-9A1794D5905F}">
  <dimension ref="B1:AE5"/>
  <sheetViews>
    <sheetView showGridLines="0" tabSelected="1" zoomScale="86" zoomScaleNormal="86" workbookViewId="0">
      <selection activeCell="B1" sqref="B1:AE1"/>
    </sheetView>
  </sheetViews>
  <sheetFormatPr defaultRowHeight="25.05" customHeight="1" x14ac:dyDescent="0.3"/>
  <cols>
    <col min="1" max="3" width="8.88671875" style="18"/>
    <col min="4" max="4" width="4.109375" style="18" customWidth="1"/>
    <col min="5" max="5" width="0.88671875" style="18" customWidth="1"/>
    <col min="6" max="7" width="8.88671875" style="18"/>
    <col min="8" max="8" width="5.33203125" style="18" customWidth="1"/>
    <col min="9" max="9" width="1.21875" style="18" customWidth="1"/>
    <col min="10" max="11" width="8.88671875" style="18"/>
    <col min="12" max="12" width="3.44140625" style="18" customWidth="1"/>
    <col min="13" max="13" width="0.88671875" style="18" customWidth="1"/>
    <col min="14" max="15" width="8.88671875" style="18"/>
    <col min="16" max="16" width="3.5546875" style="18" customWidth="1"/>
    <col min="17" max="16384" width="8.88671875" style="18"/>
  </cols>
  <sheetData>
    <row r="1" spans="2:31" ht="25.05" customHeight="1" thickBot="1" x14ac:dyDescent="0.55000000000000004">
      <c r="B1" s="31" t="s">
        <v>183</v>
      </c>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2:31" ht="25.05" customHeight="1" x14ac:dyDescent="0.3">
      <c r="B2" s="19" t="s">
        <v>176</v>
      </c>
      <c r="C2" s="20"/>
      <c r="D2" s="21"/>
      <c r="F2" s="19" t="s">
        <v>179</v>
      </c>
      <c r="G2" s="20"/>
      <c r="H2" s="21"/>
      <c r="J2" s="19" t="s">
        <v>180</v>
      </c>
      <c r="K2" s="20"/>
      <c r="L2" s="21"/>
      <c r="N2" s="19" t="s">
        <v>181</v>
      </c>
      <c r="O2" s="20"/>
      <c r="P2" s="21"/>
    </row>
    <row r="3" spans="2:31" ht="25.05" customHeight="1" x14ac:dyDescent="0.3">
      <c r="B3" s="22"/>
      <c r="C3" s="23"/>
      <c r="D3" s="24"/>
      <c r="F3" s="22"/>
      <c r="G3" s="23"/>
      <c r="H3" s="24"/>
      <c r="J3" s="22"/>
      <c r="K3" s="23"/>
      <c r="L3" s="24"/>
      <c r="N3" s="22"/>
      <c r="O3" s="23"/>
      <c r="P3" s="24"/>
    </row>
    <row r="4" spans="2:31" ht="25.05" customHeight="1" x14ac:dyDescent="0.3">
      <c r="B4" s="32">
        <f>GETPIVOTDATA("Sum of Total Sales",'Pivot Tables'!$M$3)</f>
        <v>7192294.169999999</v>
      </c>
      <c r="C4" s="33"/>
      <c r="D4" s="34"/>
      <c r="F4" s="32">
        <f>GETPIVOTDATA("Sum of Profit",'Pivot Tables'!$M$3)</f>
        <v>2157688.2510000002</v>
      </c>
      <c r="G4" s="33"/>
      <c r="H4" s="34"/>
      <c r="J4" s="25">
        <f>COUNTA('Pivot Tables'!M4:M105)</f>
        <v>102</v>
      </c>
      <c r="K4" s="26"/>
      <c r="L4" s="27"/>
      <c r="N4" s="25">
        <f>COUNTA(_xlfn.UNIQUE('Pivot Tables'!N4:N105))</f>
        <v>14</v>
      </c>
      <c r="O4" s="26"/>
      <c r="P4" s="27"/>
    </row>
    <row r="5" spans="2:31" ht="25.05" customHeight="1" thickBot="1" x14ac:dyDescent="0.35">
      <c r="B5" s="35"/>
      <c r="C5" s="36"/>
      <c r="D5" s="37"/>
      <c r="F5" s="35"/>
      <c r="G5" s="36"/>
      <c r="H5" s="37"/>
      <c r="J5" s="28"/>
      <c r="K5" s="29"/>
      <c r="L5" s="30"/>
      <c r="N5" s="28"/>
      <c r="O5" s="29"/>
      <c r="P5" s="30"/>
    </row>
  </sheetData>
  <mergeCells count="9">
    <mergeCell ref="J2:L3"/>
    <mergeCell ref="J4:L5"/>
    <mergeCell ref="N2:P3"/>
    <mergeCell ref="N4:P5"/>
    <mergeCell ref="B1:AE1"/>
    <mergeCell ref="B2:D3"/>
    <mergeCell ref="B4:D5"/>
    <mergeCell ref="F2:H3"/>
    <mergeCell ref="F4:H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 Kaur Monga</dc:creator>
  <cp:lastModifiedBy>Ranjit Kaur Monga</cp:lastModifiedBy>
  <dcterms:created xsi:type="dcterms:W3CDTF">2026-08-07T17:39:54Z</dcterms:created>
  <dcterms:modified xsi:type="dcterms:W3CDTF">2026-08-11T06:32:10Z</dcterms:modified>
</cp:coreProperties>
</file>